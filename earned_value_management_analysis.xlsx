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13_ncr:1_{F4B8AF69-C290-4B89-905F-9A0549B38E4F}" xr6:coauthVersionLast="47" xr6:coauthVersionMax="47" xr10:uidLastSave="{00000000-0000-0000-0000-000000000000}"/>
  <bookViews>
    <workbookView xWindow="-98" yWindow="-98" windowWidth="21795" windowHeight="11625" xr2:uid="{00000000-000D-0000-FFFF-FFFF00000000}"/>
  </bookViews>
  <sheets>
    <sheet name="Template" sheetId="2" r:id="rId1"/>
    <sheet name="Sheet2" sheetId="4" r:id="rId2"/>
    <sheet name="Sheet1"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J44" i="2" l="1"/>
  <c r="AJ43" i="2"/>
  <c r="AI43" i="2"/>
  <c r="AJ42" i="2"/>
  <c r="AI42" i="2"/>
  <c r="AF38" i="2"/>
  <c r="AJ35" i="2"/>
  <c r="AI35" i="2"/>
  <c r="AJ34" i="2"/>
  <c r="AJ33" i="2"/>
  <c r="AI33" i="2"/>
  <c r="W36" i="2"/>
  <c r="W32" i="2"/>
  <c r="X32" i="2"/>
  <c r="Y32" i="2"/>
  <c r="AA32" i="2"/>
  <c r="AB32" i="2"/>
  <c r="W31" i="2"/>
  <c r="AB31" i="2" s="1"/>
  <c r="AW21" i="2"/>
  <c r="AV21" i="2"/>
  <c r="AU21" i="2"/>
  <c r="AT21" i="2"/>
  <c r="AS21" i="2"/>
  <c r="AR21" i="2"/>
  <c r="AQ21" i="2"/>
  <c r="AP21" i="2"/>
  <c r="AO21" i="2"/>
  <c r="AN21" i="2"/>
  <c r="AM21" i="2"/>
  <c r="AL21" i="2"/>
  <c r="AK21" i="2"/>
  <c r="AJ21" i="2"/>
  <c r="AI21" i="2"/>
  <c r="AH21" i="2"/>
  <c r="AG21" i="2"/>
  <c r="AF21" i="2"/>
  <c r="AE21" i="2"/>
  <c r="AD21" i="2"/>
  <c r="AW20" i="2"/>
  <c r="AV20" i="2"/>
  <c r="AU20" i="2"/>
  <c r="AT20" i="2"/>
  <c r="AS20" i="2"/>
  <c r="AR20" i="2"/>
  <c r="AQ20" i="2"/>
  <c r="AP20" i="2"/>
  <c r="AO20" i="2"/>
  <c r="AN20" i="2"/>
  <c r="AM20" i="2"/>
  <c r="AL20" i="2"/>
  <c r="AK20" i="2"/>
  <c r="AJ20" i="2"/>
  <c r="AI20" i="2"/>
  <c r="AH20" i="2"/>
  <c r="AG20" i="2"/>
  <c r="AF20" i="2"/>
  <c r="AE20" i="2"/>
  <c r="AD20" i="2"/>
  <c r="AC20" i="2"/>
  <c r="AB20" i="2"/>
  <c r="AA18" i="2"/>
  <c r="AA17" i="2"/>
  <c r="AA16" i="2"/>
  <c r="AA15" i="2"/>
  <c r="AA14" i="2"/>
  <c r="AA13" i="2"/>
  <c r="AA12" i="2"/>
  <c r="AA11" i="2"/>
  <c r="AA10" i="2"/>
  <c r="AA9" i="2"/>
  <c r="AA8" i="2"/>
  <c r="AA7" i="2"/>
  <c r="AA6" i="2"/>
  <c r="AA5" i="2"/>
  <c r="AA4" i="2"/>
  <c r="AJ25" i="2"/>
  <c r="AI25" i="2"/>
  <c r="AB35" i="2"/>
  <c r="AA35" i="2"/>
  <c r="AH29" i="2"/>
  <c r="AH47" i="2"/>
  <c r="X26" i="2"/>
  <c r="X39" i="2"/>
  <c r="BA8" i="2" s="1"/>
  <c r="Y39" i="2"/>
  <c r="BB8" i="2" s="1"/>
  <c r="AG29" i="2"/>
  <c r="AG38" i="2"/>
  <c r="AG47" i="2"/>
  <c r="AI34" i="2" l="1"/>
  <c r="AA31" i="2"/>
  <c r="BB7" i="2"/>
  <c r="BA10" i="2"/>
  <c r="BA7" i="2"/>
  <c r="BA6" i="2"/>
  <c r="D7" i="2"/>
  <c r="F20" i="2" s="1"/>
  <c r="H20" i="2" s="1"/>
  <c r="J20" i="2" s="1"/>
  <c r="L20" i="2" s="1"/>
  <c r="W30" i="2" l="1"/>
  <c r="W25" i="2"/>
  <c r="AF26" i="2"/>
  <c r="AH38" i="2"/>
  <c r="BB10" i="2" s="1"/>
  <c r="AB21" i="2"/>
  <c r="AC21" i="2" s="1"/>
  <c r="Y25" i="2"/>
  <c r="Y26" i="2" s="1"/>
  <c r="BB6" i="2" s="1"/>
  <c r="F7" i="2"/>
  <c r="H7" i="2" s="1"/>
  <c r="F3" i="2"/>
  <c r="H3" i="2" s="1"/>
  <c r="J3" i="2" s="1"/>
  <c r="L3" i="2" s="1"/>
  <c r="O7" i="2" s="1"/>
  <c r="Q7" i="2" s="1"/>
  <c r="Q9" i="2" s="1"/>
  <c r="O9" i="2" s="1"/>
  <c r="BA11" i="2"/>
  <c r="BB11" i="2"/>
  <c r="BB9" i="2"/>
  <c r="BA9" i="2"/>
  <c r="AF47" i="2" l="1"/>
  <c r="AA36" i="2"/>
  <c r="AB36" i="2"/>
  <c r="W39" i="2"/>
  <c r="BA37" i="2"/>
  <c r="AJ26" i="2"/>
  <c r="AI26" i="2"/>
  <c r="AF29" i="2"/>
  <c r="AA25" i="2"/>
  <c r="AA26" i="2" s="1"/>
  <c r="AB25" i="2"/>
  <c r="AB26" i="2" s="1"/>
  <c r="W26" i="2"/>
  <c r="AZ6" i="2" s="1"/>
  <c r="AA30" i="2"/>
  <c r="AB30" i="2"/>
  <c r="AZ7" i="2"/>
  <c r="L22" i="2"/>
  <c r="J22" i="2" s="1"/>
  <c r="L5" i="2"/>
  <c r="J5" i="2" s="1"/>
  <c r="O8" i="2"/>
  <c r="H9" i="2"/>
  <c r="F9" i="2" s="1"/>
  <c r="F8" i="2" s="1"/>
  <c r="BA33" i="2" l="1"/>
  <c r="AZ33" i="2"/>
  <c r="AA39" i="2"/>
  <c r="AZ8" i="2"/>
  <c r="AB39" i="2"/>
  <c r="AI38" i="2"/>
  <c r="AZ10" i="2"/>
  <c r="AJ38" i="2"/>
  <c r="AJ47" i="2"/>
  <c r="AZ11" i="2"/>
  <c r="AI47" i="2"/>
  <c r="AZ35" i="2"/>
  <c r="BA35" i="2"/>
  <c r="BA38" i="2"/>
  <c r="AZ38" i="2"/>
  <c r="AZ37" i="2"/>
  <c r="AZ34" i="2"/>
  <c r="AI29" i="2"/>
  <c r="AJ29" i="2"/>
  <c r="AZ9" i="2"/>
  <c r="BA34" i="2"/>
  <c r="J4" i="2"/>
  <c r="H5" i="2"/>
  <c r="F5" i="2" s="1"/>
  <c r="J21" i="2"/>
  <c r="H22" i="2"/>
  <c r="F22" i="2" s="1"/>
  <c r="F21" i="2" s="1"/>
  <c r="AZ36" i="2"/>
  <c r="BA36" i="2"/>
  <c r="F4" i="2" l="1"/>
  <c r="D9" i="2"/>
  <c r="B9" i="2" s="1"/>
  <c r="B8" i="2" s="1"/>
</calcChain>
</file>

<file path=xl/sharedStrings.xml><?xml version="1.0" encoding="utf-8"?>
<sst xmlns="http://schemas.openxmlformats.org/spreadsheetml/2006/main" count="183" uniqueCount="95">
  <si>
    <t>ID</t>
  </si>
  <si>
    <t>DUR</t>
  </si>
  <si>
    <t>ES</t>
  </si>
  <si>
    <t>LF</t>
  </si>
  <si>
    <t>SL</t>
  </si>
  <si>
    <t>A</t>
  </si>
  <si>
    <t>B</t>
  </si>
  <si>
    <t>C</t>
  </si>
  <si>
    <t>D</t>
  </si>
  <si>
    <t>E</t>
  </si>
  <si>
    <t>F</t>
  </si>
  <si>
    <t>G</t>
  </si>
  <si>
    <t>EF</t>
  </si>
  <si>
    <t>LS</t>
  </si>
  <si>
    <t>EV</t>
  </si>
  <si>
    <t>AC</t>
  </si>
  <si>
    <t>PV</t>
  </si>
  <si>
    <t>CV</t>
  </si>
  <si>
    <t>SV</t>
  </si>
  <si>
    <t>Schedule information</t>
  </si>
  <si>
    <t>Status report ending period 1</t>
  </si>
  <si>
    <t>Task</t>
  </si>
  <si>
    <t>Cumulative totals</t>
  </si>
  <si>
    <t>% complete</t>
  </si>
  <si>
    <t>Status report ending period 2</t>
  </si>
  <si>
    <t>Status report ending period 3</t>
  </si>
  <si>
    <t>Status report ending period 4</t>
  </si>
  <si>
    <t>Status report ending period 5</t>
  </si>
  <si>
    <t>Status report ending period 6</t>
  </si>
  <si>
    <t>Time periods</t>
  </si>
  <si>
    <t>CPI</t>
  </si>
  <si>
    <t>SPI</t>
  </si>
  <si>
    <t>EV= % complete *total PV</t>
  </si>
  <si>
    <t>PV (to date)</t>
  </si>
  <si>
    <t>CV=EV-AC</t>
  </si>
  <si>
    <t>SV= EV-PV(to date)</t>
  </si>
  <si>
    <t>EV/pv</t>
  </si>
  <si>
    <t>Baseline budget labor cost (in hundred $)</t>
  </si>
  <si>
    <t>Activity</t>
  </si>
  <si>
    <t>Duration</t>
  </si>
  <si>
    <t>Total PV $</t>
  </si>
  <si>
    <t>EV/AC</t>
  </si>
  <si>
    <t>Total PV $ by period</t>
  </si>
  <si>
    <t>Cumulative PV  $ by period</t>
  </si>
  <si>
    <t>At the end of period 6 the project is behind schedule and under cost.</t>
  </si>
  <si>
    <t>H</t>
  </si>
  <si>
    <t>I</t>
  </si>
  <si>
    <t>J</t>
  </si>
  <si>
    <t>K</t>
  </si>
  <si>
    <t xml:space="preserve">L </t>
  </si>
  <si>
    <t>M</t>
  </si>
  <si>
    <t>N</t>
  </si>
  <si>
    <t>O</t>
  </si>
  <si>
    <t>LF = ES + Dur</t>
  </si>
  <si>
    <t>Initial Team Meeting</t>
  </si>
  <si>
    <t>Understand Case</t>
  </si>
  <si>
    <t>Build Baseline</t>
  </si>
  <si>
    <t>Scenario 1–3</t>
  </si>
  <si>
    <t>Scenario 4–5</t>
  </si>
  <si>
    <t>Midpoint Review</t>
  </si>
  <si>
    <t>Plan Presentation</t>
  </si>
  <si>
    <t>Create Slides</t>
  </si>
  <si>
    <t>Buffer</t>
  </si>
  <si>
    <t>Practice</t>
  </si>
  <si>
    <t>Presentation</t>
  </si>
  <si>
    <t>Write Report</t>
  </si>
  <si>
    <t>Integration</t>
  </si>
  <si>
    <t>Final Review</t>
  </si>
  <si>
    <t>Submission</t>
  </si>
  <si>
    <t>-</t>
  </si>
  <si>
    <t>Headcount</t>
  </si>
  <si>
    <t>Total PV ($)</t>
  </si>
  <si>
    <r>
      <t xml:space="preserve">1×5×320 = </t>
    </r>
    <r>
      <rPr>
        <b/>
        <sz val="11"/>
        <color theme="1"/>
        <rFont val="Calibri"/>
        <family val="2"/>
        <scheme val="minor"/>
      </rPr>
      <t>1,600</t>
    </r>
  </si>
  <si>
    <r>
      <t xml:space="preserve">3×5×320 = </t>
    </r>
    <r>
      <rPr>
        <b/>
        <sz val="11"/>
        <color theme="1"/>
        <rFont val="Calibri"/>
        <family val="2"/>
        <scheme val="minor"/>
      </rPr>
      <t>4,800</t>
    </r>
  </si>
  <si>
    <r>
      <t xml:space="preserve">2×2×320 = </t>
    </r>
    <r>
      <rPr>
        <b/>
        <sz val="11"/>
        <color theme="1"/>
        <rFont val="Calibri"/>
        <family val="2"/>
        <scheme val="minor"/>
      </rPr>
      <t>1,280</t>
    </r>
  </si>
  <si>
    <r>
      <t xml:space="preserve">3×2×320 = </t>
    </r>
    <r>
      <rPr>
        <b/>
        <sz val="11"/>
        <color theme="1"/>
        <rFont val="Calibri"/>
        <family val="2"/>
        <scheme val="minor"/>
      </rPr>
      <t>1,920</t>
    </r>
  </si>
  <si>
    <r>
      <t xml:space="preserve">3×3×320 = </t>
    </r>
    <r>
      <rPr>
        <b/>
        <sz val="11"/>
        <color theme="1"/>
        <rFont val="Calibri"/>
        <family val="2"/>
        <scheme val="minor"/>
      </rPr>
      <t>2,880</t>
    </r>
  </si>
  <si>
    <r>
      <t xml:space="preserve">2×5×320 = </t>
    </r>
    <r>
      <rPr>
        <b/>
        <sz val="11"/>
        <color theme="1"/>
        <rFont val="Calibri"/>
        <family val="2"/>
        <scheme val="minor"/>
      </rPr>
      <t>3,200</t>
    </r>
  </si>
  <si>
    <r>
      <t xml:space="preserve">4×2×320 = </t>
    </r>
    <r>
      <rPr>
        <b/>
        <sz val="11"/>
        <color theme="1"/>
        <rFont val="Calibri"/>
        <family val="2"/>
        <scheme val="minor"/>
      </rPr>
      <t>2,560</t>
    </r>
  </si>
  <si>
    <t xml:space="preserve">Resource cost </t>
  </si>
  <si>
    <t>40/hr</t>
  </si>
  <si>
    <t>One day</t>
  </si>
  <si>
    <t>8 hours</t>
  </si>
  <si>
    <t>---&gt;</t>
  </si>
  <si>
    <t>8*40=</t>
  </si>
  <si>
    <t>Head Count</t>
  </si>
  <si>
    <t>BAC (baseline total budget)</t>
  </si>
  <si>
    <t>Target</t>
  </si>
  <si>
    <t>Period</t>
  </si>
  <si>
    <t>Cum PV</t>
  </si>
  <si>
    <t>Cum EV</t>
  </si>
  <si>
    <t>Cum AC</t>
  </si>
  <si>
    <t>Figure X. Earned Value performance showing the relationship between Planned Value (PV), Earned Value (EV), and Actual Cost (AC) over six reporting periods.</t>
  </si>
  <si>
    <t>Figure Y. Schedule Performance Index (SPI) and Cost Performance Index (CPI) illustrating schedule recovery and cost efficiency during the project lifecycle.</t>
  </si>
  <si>
    <t>The cost–schedule graph compares Planned Value (PV), Earned Value (EV), and Actual Cost (AC) over the first six reporting periods. The results show that the project experienced a slow start during the early stages, with EV falling below PV, indicating that progress was initially behind schedule. However, corrective actions enabled the team to recover schedule performance by Period 4, where EV converged with PV. The index graph further confirms this pattern, with SPI initially below 1 before returning to approximately 1 by Period 6. At the same time, CPI remained above 1 in most periods, indicating that the project maintained cost efficiency and remained under budget. Overall, the monitoring results suggest that the project team successfully addressed early delays and delivered the project on time while controlling costs effectively.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</si>
</sst>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quot;$&quot;* #,##0.00_-;_-&quot;$&quot;* &quot;-&quot;??_-;_-@_-"/>
  </numFmts>
  <fonts count="8" x14ac:knownFonts="1">
    <font>
      <sz val="11"/>
      <color theme="1"/>
      <name val="Calibri"/>
      <family val="2"/>
      <scheme val="minor"/>
    </font>
    <font>
      <b/>
      <sz val="11"/>
      <color theme="1"/>
      <name val="Calibri"/>
      <family val="2"/>
      <scheme val="minor"/>
    </font>
    <font>
      <b/>
      <sz val="11"/>
      <name val="Calibri"/>
      <family val="2"/>
      <scheme val="minor"/>
    </font>
    <font>
      <sz val="14"/>
      <color theme="1"/>
      <name val="Calibri"/>
      <family val="2"/>
      <scheme val="minor"/>
    </font>
    <font>
      <sz val="11"/>
      <color theme="1"/>
      <name val="Calibri"/>
      <family val="2"/>
      <scheme val="minor"/>
    </font>
    <font>
      <b/>
      <sz val="14"/>
      <color theme="1"/>
      <name val="Calibri"/>
      <family val="2"/>
      <scheme val="minor"/>
    </font>
    <font>
      <b/>
      <sz val="12"/>
      <color theme="1"/>
      <name val="Times New Roman"/>
      <family val="1"/>
    </font>
    <font>
      <sz val="12"/>
      <color theme="1"/>
      <name val="Times New Roman"/>
      <family val="1"/>
    </font>
  </fonts>
  <fills count="11">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theme="8" tint="0.79998168889431442"/>
        <bgColor indexed="64"/>
      </patternFill>
    </fill>
    <fill>
      <patternFill patternType="solid">
        <fgColor rgb="FFFE9F98"/>
        <bgColor indexed="64"/>
      </patternFill>
    </fill>
  </fills>
  <borders count="2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s>
  <cellStyleXfs count="3">
    <xf numFmtId="0" fontId="0" fillId="0" borderId="0"/>
    <xf numFmtId="9" fontId="4" fillId="0" borderId="0" applyFont="0" applyFill="0" applyBorder="0" applyAlignment="0" applyProtection="0"/>
    <xf numFmtId="164" fontId="4" fillId="0" borderId="0" applyFont="0" applyFill="0" applyBorder="0" applyAlignment="0" applyProtection="0"/>
  </cellStyleXfs>
  <cellXfs count="69">
    <xf numFmtId="0" fontId="0" fillId="0" borderId="0" xfId="0"/>
    <xf numFmtId="0" fontId="2" fillId="0" borderId="0" xfId="0" applyFont="1"/>
    <xf numFmtId="0" fontId="0" fillId="0" borderId="0" xfId="0"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3" borderId="2" xfId="0" applyFill="1" applyBorder="1" applyAlignment="1">
      <alignment horizontal="center"/>
    </xf>
    <xf numFmtId="0" fontId="0" fillId="0" borderId="2" xfId="0" applyBorder="1" applyAlignment="1">
      <alignment horizontal="center" vertical="center"/>
    </xf>
    <xf numFmtId="0" fontId="3" fillId="0" borderId="0" xfId="0" applyFont="1" applyAlignment="1">
      <alignment horizontal="center" vertical="center"/>
    </xf>
    <xf numFmtId="0" fontId="3" fillId="0" borderId="2" xfId="0" applyFont="1" applyBorder="1" applyAlignment="1">
      <alignment horizontal="center" vertical="center"/>
    </xf>
    <xf numFmtId="0" fontId="1" fillId="0" borderId="0" xfId="0" applyFont="1"/>
    <xf numFmtId="0" fontId="0" fillId="2" borderId="2" xfId="0" applyFill="1" applyBorder="1" applyAlignment="1">
      <alignment horizontal="center" vertical="center"/>
    </xf>
    <xf numFmtId="0" fontId="0" fillId="0" borderId="3" xfId="0" applyBorder="1" applyAlignment="1">
      <alignment horizontal="center" vertical="center"/>
    </xf>
    <xf numFmtId="9" fontId="3" fillId="0" borderId="2" xfId="0" applyNumberFormat="1" applyFont="1" applyBorder="1" applyAlignment="1">
      <alignment horizontal="center" vertical="center"/>
    </xf>
    <xf numFmtId="9" fontId="3" fillId="0" borderId="2" xfId="1" applyFont="1" applyBorder="1" applyAlignment="1">
      <alignment horizontal="center" vertical="center"/>
    </xf>
    <xf numFmtId="9" fontId="3" fillId="0" borderId="11" xfId="1" applyFont="1" applyBorder="1" applyAlignment="1">
      <alignment horizontal="center" vertical="center"/>
    </xf>
    <xf numFmtId="0" fontId="0" fillId="0" borderId="6" xfId="0" applyBorder="1" applyAlignment="1">
      <alignment horizontal="center" vertical="center"/>
    </xf>
    <xf numFmtId="2" fontId="0" fillId="0" borderId="2" xfId="0" applyNumberFormat="1" applyBorder="1" applyAlignment="1">
      <alignment horizontal="center" vertical="center"/>
    </xf>
    <xf numFmtId="0" fontId="5" fillId="0" borderId="0" xfId="0" applyFont="1"/>
    <xf numFmtId="0" fontId="1" fillId="0" borderId="2" xfId="0" applyFont="1" applyBorder="1" applyAlignment="1">
      <alignment horizontal="center" vertical="center"/>
    </xf>
    <xf numFmtId="0" fontId="5" fillId="0" borderId="2" xfId="0" applyFont="1" applyBorder="1" applyAlignment="1">
      <alignment horizontal="center" vertical="center"/>
    </xf>
    <xf numFmtId="0" fontId="5" fillId="5" borderId="2" xfId="0" applyFont="1" applyFill="1" applyBorder="1" applyAlignment="1">
      <alignment horizontal="center" vertical="center"/>
    </xf>
    <xf numFmtId="0" fontId="5" fillId="0" borderId="10" xfId="0" applyFont="1" applyBorder="1" applyAlignment="1">
      <alignment horizontal="center" vertical="center"/>
    </xf>
    <xf numFmtId="0" fontId="5" fillId="6" borderId="2" xfId="0" applyFont="1" applyFill="1" applyBorder="1" applyAlignment="1">
      <alignment horizontal="center" vertical="center"/>
    </xf>
    <xf numFmtId="0" fontId="5" fillId="7" borderId="2" xfId="0" applyFont="1" applyFill="1" applyBorder="1" applyAlignment="1">
      <alignment horizontal="center" vertical="center"/>
    </xf>
    <xf numFmtId="0" fontId="1" fillId="7" borderId="2" xfId="0" applyFont="1" applyFill="1" applyBorder="1" applyAlignment="1">
      <alignment horizontal="center" vertical="center"/>
    </xf>
    <xf numFmtId="0" fontId="1" fillId="5" borderId="2" xfId="0" applyFont="1" applyFill="1"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3" fillId="0" borderId="2" xfId="0" quotePrefix="1" applyFont="1" applyBorder="1" applyAlignment="1">
      <alignment horizontal="center" vertical="center"/>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quotePrefix="1"/>
    <xf numFmtId="0" fontId="3" fillId="0" borderId="14" xfId="0" applyFont="1" applyBorder="1" applyAlignment="1">
      <alignment vertical="center"/>
    </xf>
    <xf numFmtId="0" fontId="3" fillId="0" borderId="22" xfId="0" applyFont="1" applyBorder="1" applyAlignment="1">
      <alignment vertical="center"/>
    </xf>
    <xf numFmtId="0" fontId="3" fillId="0" borderId="15" xfId="0"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center"/>
    </xf>
    <xf numFmtId="0" fontId="3" fillId="0" borderId="21" xfId="0" applyFont="1" applyBorder="1" applyAlignment="1">
      <alignment vertical="center"/>
    </xf>
    <xf numFmtId="0" fontId="3" fillId="0" borderId="16" xfId="0" applyFont="1" applyBorder="1" applyAlignment="1">
      <alignment vertical="center"/>
    </xf>
    <xf numFmtId="0" fontId="3" fillId="0" borderId="17" xfId="0" applyFont="1" applyBorder="1" applyAlignment="1">
      <alignment vertical="center"/>
    </xf>
    <xf numFmtId="0" fontId="3" fillId="0" borderId="18" xfId="0" applyFont="1" applyBorder="1" applyAlignment="1">
      <alignment vertical="center"/>
    </xf>
    <xf numFmtId="0" fontId="0" fillId="0" borderId="0" xfId="0" applyAlignment="1">
      <alignment horizontal="center" vertical="center"/>
    </xf>
    <xf numFmtId="164" fontId="3" fillId="0" borderId="10" xfId="2" applyFont="1" applyBorder="1" applyAlignment="1">
      <alignment horizontal="center" vertical="center"/>
    </xf>
    <xf numFmtId="164" fontId="3" fillId="0" borderId="10" xfId="2" quotePrefix="1" applyFont="1" applyBorder="1" applyAlignment="1">
      <alignment horizontal="center" vertical="center"/>
    </xf>
    <xf numFmtId="0" fontId="0" fillId="8" borderId="2" xfId="0" applyFill="1" applyBorder="1" applyAlignment="1">
      <alignment horizontal="center" vertical="center"/>
    </xf>
    <xf numFmtId="0" fontId="0" fillId="8" borderId="12" xfId="0" applyFill="1" applyBorder="1" applyAlignment="1">
      <alignment horizontal="center" vertical="center"/>
    </xf>
    <xf numFmtId="0" fontId="0" fillId="4" borderId="0" xfId="0" applyFill="1"/>
    <xf numFmtId="164" fontId="5" fillId="4" borderId="0" xfId="2" applyFont="1" applyFill="1" applyAlignment="1">
      <alignment horizontal="center" vertical="center"/>
    </xf>
    <xf numFmtId="0" fontId="5" fillId="0" borderId="13" xfId="0" applyFont="1" applyBorder="1" applyAlignment="1">
      <alignment horizontal="left" vertical="center"/>
    </xf>
    <xf numFmtId="0" fontId="5" fillId="0" borderId="10" xfId="0" applyFont="1" applyBorder="1" applyAlignment="1">
      <alignment horizontal="right" vertical="center"/>
    </xf>
    <xf numFmtId="0" fontId="5" fillId="0" borderId="11" xfId="0" applyFont="1" applyBorder="1" applyAlignment="1">
      <alignment horizontal="right" vertical="center"/>
    </xf>
    <xf numFmtId="0" fontId="0" fillId="0" borderId="2" xfId="0" applyBorder="1" applyAlignment="1">
      <alignment horizontal="center"/>
    </xf>
    <xf numFmtId="0" fontId="6" fillId="9" borderId="1" xfId="0" applyFont="1" applyFill="1" applyBorder="1" applyAlignment="1">
      <alignment horizontal="center" vertical="center" wrapText="1"/>
    </xf>
    <xf numFmtId="0" fontId="6" fillId="9" borderId="3"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10" borderId="2" xfId="0" applyFont="1" applyFill="1" applyBorder="1" applyAlignment="1">
      <alignment horizontal="center" vertical="center" wrapText="1"/>
    </xf>
    <xf numFmtId="0" fontId="7" fillId="10" borderId="6"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5" xfId="0" applyFont="1" applyFill="1" applyBorder="1" applyAlignment="1">
      <alignment horizontal="center" vertical="center" wrapText="1"/>
    </xf>
  </cellXfs>
  <cellStyles count="3">
    <cellStyle name="Currency" xfId="2" builtinId="4"/>
    <cellStyle name="Normal" xfId="0" builtinId="0"/>
    <cellStyle name="Percent" xfId="1" builtinId="5"/>
  </cellStyles>
  <dxfs count="0"/>
  <tableStyles count="0" defaultTableStyle="TableStyleMedium2" defaultPivotStyle="PivotStyleLight16"/>
  <colors>
    <mruColors>
      <color rgb="FFFE9F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ysClr val="windowText" lastClr="000000"/>
                </a:solidFill>
                <a:latin typeface="+mj-lt"/>
                <a:ea typeface="+mj-ea"/>
                <a:cs typeface="+mj-cs"/>
              </a:defRPr>
            </a:pPr>
            <a:r>
              <a:rPr lang="en-NZ">
                <a:solidFill>
                  <a:sysClr val="windowText" lastClr="000000"/>
                </a:solidFill>
              </a:rPr>
              <a:t>Earned Value Performance (PV, EV, AC)</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ysClr val="windowText" lastClr="000000"/>
              </a:solidFill>
              <a:latin typeface="+mj-lt"/>
              <a:ea typeface="+mj-ea"/>
              <a:cs typeface="+mj-cs"/>
            </a:defRPr>
          </a:pPr>
          <a:endParaRPr lang="en-US"/>
        </a:p>
      </c:txPr>
    </c:title>
    <c:autoTitleDeleted val="0"/>
    <c:plotArea>
      <c:layout/>
      <c:lineChart>
        <c:grouping val="standard"/>
        <c:varyColors val="0"/>
        <c:ser>
          <c:idx val="1"/>
          <c:order val="0"/>
          <c:tx>
            <c:strRef>
              <c:f>Template!$AZ$4</c:f>
              <c:strCache>
                <c:ptCount val="1"/>
                <c:pt idx="0">
                  <c:v>EV</c:v>
                </c:pt>
              </c:strCache>
            </c:strRef>
          </c:tx>
          <c:spPr>
            <a:ln w="22225" cap="rnd">
              <a:solidFill>
                <a:srgbClr val="FFC000"/>
              </a:solidFill>
              <a:round/>
            </a:ln>
            <a:effectLst/>
          </c:spPr>
          <c:marker>
            <c:symbol val="none"/>
          </c:marker>
          <c:dLbls>
            <c:dLbl>
              <c:idx val="4"/>
              <c:layout>
                <c:manualLayout>
                  <c:x val="0.12389134099739181"/>
                  <c:y val="-6.21926004797015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58-4BD8-A60E-24D95038CA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numRef>
              <c:extLst>
                <c:ext xmlns:c15="http://schemas.microsoft.com/office/drawing/2012/chart" uri="{02D57815-91ED-43cb-92C2-25804820EDAC}">
                  <c15:fullRef>
                    <c15:sqref>Template!$AY$5:$AY$27</c15:sqref>
                  </c15:fullRef>
                </c:ext>
              </c:extLst>
              <c:f>Template!$AY$6:$AY$12</c:f>
              <c:numCache>
                <c:formatCode>General</c:formatCode>
                <c:ptCount val="7"/>
                <c:pt idx="0">
                  <c:v>1</c:v>
                </c:pt>
                <c:pt idx="1">
                  <c:v>2</c:v>
                </c:pt>
                <c:pt idx="2">
                  <c:v>3</c:v>
                </c:pt>
                <c:pt idx="3">
                  <c:v>4</c:v>
                </c:pt>
                <c:pt idx="4">
                  <c:v>5</c:v>
                </c:pt>
                <c:pt idx="5">
                  <c:v>6</c:v>
                </c:pt>
                <c:pt idx="6">
                  <c:v>7</c:v>
                </c:pt>
              </c:numCache>
            </c:numRef>
          </c:cat>
          <c:val>
            <c:numRef>
              <c:extLst>
                <c:ext xmlns:c15="http://schemas.microsoft.com/office/drawing/2012/chart" uri="{02D57815-91ED-43cb-92C2-25804820EDAC}">
                  <c15:fullRef>
                    <c15:sqref>Template!$AZ$5:$AZ$27</c15:sqref>
                  </c15:fullRef>
                </c:ext>
              </c:extLst>
              <c:f>Template!$AZ$6:$AZ$12</c:f>
              <c:numCache>
                <c:formatCode>General</c:formatCode>
                <c:ptCount val="7"/>
                <c:pt idx="0">
                  <c:v>1440</c:v>
                </c:pt>
                <c:pt idx="1">
                  <c:v>2560</c:v>
                </c:pt>
                <c:pt idx="2">
                  <c:v>4240</c:v>
                </c:pt>
                <c:pt idx="3">
                  <c:v>6400</c:v>
                </c:pt>
                <c:pt idx="4">
                  <c:v>6848</c:v>
                </c:pt>
                <c:pt idx="5">
                  <c:v>7680</c:v>
                </c:pt>
              </c:numCache>
            </c:numRef>
          </c:val>
          <c:smooth val="0"/>
          <c:extLst>
            <c:ext xmlns:c16="http://schemas.microsoft.com/office/drawing/2014/chart" uri="{C3380CC4-5D6E-409C-BE32-E72D297353CC}">
              <c16:uniqueId val="{00000000-44FD-4FF4-82F8-207872CFE112}"/>
            </c:ext>
          </c:extLst>
        </c:ser>
        <c:ser>
          <c:idx val="2"/>
          <c:order val="1"/>
          <c:tx>
            <c:strRef>
              <c:f>Template!$BA$4</c:f>
              <c:strCache>
                <c:ptCount val="1"/>
                <c:pt idx="0">
                  <c:v>AC</c:v>
                </c:pt>
              </c:strCache>
            </c:strRef>
          </c:tx>
          <c:spPr>
            <a:ln w="22225" cap="rnd">
              <a:solidFill>
                <a:srgbClr val="92D050"/>
              </a:solidFill>
              <a:round/>
            </a:ln>
            <a:effectLst/>
          </c:spPr>
          <c:marker>
            <c:symbol val="none"/>
          </c:marker>
          <c:dLbls>
            <c:dLbl>
              <c:idx val="4"/>
              <c:layout>
                <c:manualLayout>
                  <c:x val="0.10587078230686209"/>
                  <c:y val="-3.33174645426972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58-4BD8-A60E-24D95038CA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numRef>
              <c:extLst>
                <c:ext xmlns:c15="http://schemas.microsoft.com/office/drawing/2012/chart" uri="{02D57815-91ED-43cb-92C2-25804820EDAC}">
                  <c15:fullRef>
                    <c15:sqref>Template!$AY$5:$AY$27</c15:sqref>
                  </c15:fullRef>
                </c:ext>
              </c:extLst>
              <c:f>Template!$AY$6:$AY$12</c:f>
              <c:numCache>
                <c:formatCode>General</c:formatCode>
                <c:ptCount val="7"/>
                <c:pt idx="0">
                  <c:v>1</c:v>
                </c:pt>
                <c:pt idx="1">
                  <c:v>2</c:v>
                </c:pt>
                <c:pt idx="2">
                  <c:v>3</c:v>
                </c:pt>
                <c:pt idx="3">
                  <c:v>4</c:v>
                </c:pt>
                <c:pt idx="4">
                  <c:v>5</c:v>
                </c:pt>
                <c:pt idx="5">
                  <c:v>6</c:v>
                </c:pt>
                <c:pt idx="6">
                  <c:v>7</c:v>
                </c:pt>
              </c:numCache>
            </c:numRef>
          </c:cat>
          <c:val>
            <c:numRef>
              <c:extLst>
                <c:ext xmlns:c15="http://schemas.microsoft.com/office/drawing/2012/chart" uri="{02D57815-91ED-43cb-92C2-25804820EDAC}">
                  <c15:fullRef>
                    <c15:sqref>Template!$BA$5:$BA$27</c15:sqref>
                  </c15:fullRef>
                </c:ext>
              </c:extLst>
              <c:f>Template!$BA$6:$BA$12</c:f>
              <c:numCache>
                <c:formatCode>General</c:formatCode>
                <c:ptCount val="7"/>
                <c:pt idx="0">
                  <c:v>1500</c:v>
                </c:pt>
                <c:pt idx="1">
                  <c:v>2550</c:v>
                </c:pt>
                <c:pt idx="2">
                  <c:v>4150</c:v>
                </c:pt>
                <c:pt idx="3">
                  <c:v>6200</c:v>
                </c:pt>
                <c:pt idx="4">
                  <c:v>6700</c:v>
                </c:pt>
                <c:pt idx="5">
                  <c:v>7400</c:v>
                </c:pt>
              </c:numCache>
            </c:numRef>
          </c:val>
          <c:smooth val="0"/>
          <c:extLst>
            <c:ext xmlns:c16="http://schemas.microsoft.com/office/drawing/2014/chart" uri="{C3380CC4-5D6E-409C-BE32-E72D297353CC}">
              <c16:uniqueId val="{00000001-44FD-4FF4-82F8-207872CFE112}"/>
            </c:ext>
          </c:extLst>
        </c:ser>
        <c:ser>
          <c:idx val="3"/>
          <c:order val="2"/>
          <c:tx>
            <c:strRef>
              <c:f>Template!$BB$4</c:f>
              <c:strCache>
                <c:ptCount val="1"/>
                <c:pt idx="0">
                  <c:v>PV</c:v>
                </c:pt>
              </c:strCache>
            </c:strRef>
          </c:tx>
          <c:spPr>
            <a:ln w="22225" cap="rnd">
              <a:solidFill>
                <a:srgbClr val="00B0F0"/>
              </a:solidFill>
              <a:round/>
            </a:ln>
            <a:effectLst/>
          </c:spPr>
          <c:marker>
            <c:symbol val="none"/>
          </c:marker>
          <c:dLbls>
            <c:dLbl>
              <c:idx val="4"/>
              <c:layout>
                <c:manualLayout>
                  <c:x val="9.6860502961597233E-2"/>
                  <c:y val="-8.21830792053199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C58-4BD8-A60E-24D95038CA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numRef>
              <c:extLst>
                <c:ext xmlns:c15="http://schemas.microsoft.com/office/drawing/2012/chart" uri="{02D57815-91ED-43cb-92C2-25804820EDAC}">
                  <c15:fullRef>
                    <c15:sqref>Template!$AY$5:$AY$27</c15:sqref>
                  </c15:fullRef>
                </c:ext>
              </c:extLst>
              <c:f>Template!$AY$6:$AY$12</c:f>
              <c:numCache>
                <c:formatCode>General</c:formatCode>
                <c:ptCount val="7"/>
                <c:pt idx="0">
                  <c:v>1</c:v>
                </c:pt>
                <c:pt idx="1">
                  <c:v>2</c:v>
                </c:pt>
                <c:pt idx="2">
                  <c:v>3</c:v>
                </c:pt>
                <c:pt idx="3">
                  <c:v>4</c:v>
                </c:pt>
                <c:pt idx="4">
                  <c:v>5</c:v>
                </c:pt>
                <c:pt idx="5">
                  <c:v>6</c:v>
                </c:pt>
                <c:pt idx="6">
                  <c:v>7</c:v>
                </c:pt>
              </c:numCache>
            </c:numRef>
          </c:cat>
          <c:val>
            <c:numRef>
              <c:extLst>
                <c:ext xmlns:c15="http://schemas.microsoft.com/office/drawing/2012/chart" uri="{02D57815-91ED-43cb-92C2-25804820EDAC}">
                  <c15:fullRef>
                    <c15:sqref>Template!$BB$5:$BB$27</c15:sqref>
                  </c15:fullRef>
                </c:ext>
              </c:extLst>
              <c:f>Template!$BB$6:$BB$12</c:f>
              <c:numCache>
                <c:formatCode>General</c:formatCode>
                <c:ptCount val="7"/>
                <c:pt idx="0">
                  <c:v>1600</c:v>
                </c:pt>
                <c:pt idx="1">
                  <c:v>3200</c:v>
                </c:pt>
                <c:pt idx="2">
                  <c:v>4800</c:v>
                </c:pt>
                <c:pt idx="3">
                  <c:v>6400</c:v>
                </c:pt>
                <c:pt idx="4">
                  <c:v>7040</c:v>
                </c:pt>
                <c:pt idx="5">
                  <c:v>7680</c:v>
                </c:pt>
              </c:numCache>
            </c:numRef>
          </c:val>
          <c:smooth val="0"/>
          <c:extLst>
            <c:ext xmlns:c16="http://schemas.microsoft.com/office/drawing/2014/chart" uri="{C3380CC4-5D6E-409C-BE32-E72D297353CC}">
              <c16:uniqueId val="{00000002-44FD-4FF4-82F8-207872CFE112}"/>
            </c:ext>
          </c:extLst>
        </c:ser>
        <c:dLbls>
          <c:showLegendKey val="0"/>
          <c:showVal val="0"/>
          <c:showCatName val="0"/>
          <c:showSerName val="0"/>
          <c:showPercent val="0"/>
          <c:showBubbleSize val="0"/>
        </c:dLbls>
        <c:smooth val="0"/>
        <c:axId val="391606456"/>
        <c:axId val="391608424"/>
      </c:lineChart>
      <c:catAx>
        <c:axId val="391606456"/>
        <c:scaling>
          <c:orientation val="minMax"/>
        </c:scaling>
        <c:delete val="0"/>
        <c:axPos val="b"/>
        <c:majorGridlines>
          <c:spPr>
            <a:ln w="9525" cap="flat" cmpd="sng" algn="ctr">
              <a:no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NZ"/>
                  <a:t>Reporting</a:t>
                </a:r>
                <a:r>
                  <a:rPr lang="en-NZ" baseline="0"/>
                  <a:t> Period</a:t>
                </a:r>
                <a:endParaRPr lang="en-NZ"/>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NZ"/>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91608424"/>
        <c:crosses val="autoZero"/>
        <c:auto val="1"/>
        <c:lblAlgn val="ctr"/>
        <c:lblOffset val="100"/>
        <c:noMultiLvlLbl val="0"/>
      </c:catAx>
      <c:valAx>
        <c:axId val="391608424"/>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NZ" sz="900" b="1" i="0" u="none" strike="noStrike" kern="1200" baseline="0">
                    <a:solidFill>
                      <a:sysClr val="windowText" lastClr="000000">
                        <a:lumMod val="65000"/>
                        <a:lumOff val="35000"/>
                      </a:sysClr>
                    </a:solidFill>
                  </a:rPr>
                  <a:t>Cummilative Value (in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91606456"/>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ysClr val="windowText" lastClr="000000"/>
                </a:solidFill>
                <a:latin typeface="+mj-lt"/>
                <a:ea typeface="+mj-ea"/>
                <a:cs typeface="+mj-cs"/>
              </a:defRPr>
            </a:pPr>
            <a:r>
              <a:rPr lang="en-US">
                <a:solidFill>
                  <a:sysClr val="windowText" lastClr="000000"/>
                </a:solidFill>
              </a:rPr>
              <a:t>Schedule and Cost Performance Indices (SPI and CPI)</a:t>
            </a:r>
          </a:p>
        </c:rich>
      </c:tx>
      <c:layout>
        <c:manualLayout>
          <c:xMode val="edge"/>
          <c:yMode val="edge"/>
          <c:x val="0.10040652665938787"/>
          <c:y val="1.8901355018793455E-2"/>
        </c:manualLayout>
      </c:layout>
      <c:overlay val="1"/>
      <c:spPr>
        <a:noFill/>
        <a:ln>
          <a:noFill/>
        </a:ln>
        <a:effectLst/>
      </c:spPr>
      <c:txPr>
        <a:bodyPr rot="0" spcFirstLastPara="1" vertOverflow="ellipsis" vert="horz" wrap="square" anchor="ctr" anchorCtr="1"/>
        <a:lstStyle/>
        <a:p>
          <a:pPr>
            <a:defRPr sz="1600" b="1" i="0" u="none" strike="noStrike" kern="1200" cap="none" spc="0" normalizeH="0" baseline="0">
              <a:solidFill>
                <a:sysClr val="windowText" lastClr="000000"/>
              </a:solidFill>
              <a:latin typeface="+mj-lt"/>
              <a:ea typeface="+mj-ea"/>
              <a:cs typeface="+mj-cs"/>
            </a:defRPr>
          </a:pPr>
          <a:endParaRPr lang="en-US"/>
        </a:p>
      </c:txPr>
    </c:title>
    <c:autoTitleDeleted val="0"/>
    <c:plotArea>
      <c:layout/>
      <c:lineChart>
        <c:grouping val="standard"/>
        <c:varyColors val="0"/>
        <c:ser>
          <c:idx val="1"/>
          <c:order val="0"/>
          <c:tx>
            <c:strRef>
              <c:f>Template!$AZ$32</c:f>
              <c:strCache>
                <c:ptCount val="1"/>
                <c:pt idx="0">
                  <c:v>CPI</c:v>
                </c:pt>
              </c:strCache>
            </c:strRef>
          </c:tx>
          <c:spPr>
            <a:ln w="22225" cap="rnd">
              <a:solidFill>
                <a:schemeClr val="accent2"/>
              </a:solidFill>
              <a:round/>
            </a:ln>
            <a:effectLst/>
          </c:spPr>
          <c:marker>
            <c:symbol val="none"/>
          </c:marker>
          <c:val>
            <c:numRef>
              <c:f>Template!$AZ$33:$AZ$38</c:f>
              <c:numCache>
                <c:formatCode>0.00</c:formatCode>
                <c:ptCount val="6"/>
                <c:pt idx="0">
                  <c:v>0.96</c:v>
                </c:pt>
                <c:pt idx="1">
                  <c:v>1.003921568627451</c:v>
                </c:pt>
                <c:pt idx="2">
                  <c:v>1.0216867469879518</c:v>
                </c:pt>
                <c:pt idx="3">
                  <c:v>1.032258064516129</c:v>
                </c:pt>
                <c:pt idx="4">
                  <c:v>1.022089552238806</c:v>
                </c:pt>
                <c:pt idx="5">
                  <c:v>1.0378378378378379</c:v>
                </c:pt>
              </c:numCache>
            </c:numRef>
          </c:val>
          <c:smooth val="0"/>
          <c:extLst>
            <c:ext xmlns:c16="http://schemas.microsoft.com/office/drawing/2014/chart" uri="{C3380CC4-5D6E-409C-BE32-E72D297353CC}">
              <c16:uniqueId val="{00000000-D3AB-4F53-A618-E32A4F5D7EAB}"/>
            </c:ext>
          </c:extLst>
        </c:ser>
        <c:ser>
          <c:idx val="2"/>
          <c:order val="1"/>
          <c:tx>
            <c:strRef>
              <c:f>Template!$BA$32</c:f>
              <c:strCache>
                <c:ptCount val="1"/>
                <c:pt idx="0">
                  <c:v>SPI</c:v>
                </c:pt>
              </c:strCache>
            </c:strRef>
          </c:tx>
          <c:spPr>
            <a:ln w="22225" cap="rnd">
              <a:solidFill>
                <a:srgbClr val="00B0F0"/>
              </a:solidFill>
              <a:round/>
            </a:ln>
            <a:effectLst/>
          </c:spPr>
          <c:marker>
            <c:symbol val="none"/>
          </c:marker>
          <c:val>
            <c:numRef>
              <c:f>Template!$BA$33:$BA$38</c:f>
              <c:numCache>
                <c:formatCode>0.00</c:formatCode>
                <c:ptCount val="6"/>
                <c:pt idx="0">
                  <c:v>0.9</c:v>
                </c:pt>
                <c:pt idx="1">
                  <c:v>0.8</c:v>
                </c:pt>
                <c:pt idx="2">
                  <c:v>0.8833333333333333</c:v>
                </c:pt>
                <c:pt idx="3">
                  <c:v>1</c:v>
                </c:pt>
                <c:pt idx="4">
                  <c:v>0.97272727272727277</c:v>
                </c:pt>
                <c:pt idx="5">
                  <c:v>1</c:v>
                </c:pt>
              </c:numCache>
            </c:numRef>
          </c:val>
          <c:smooth val="0"/>
          <c:extLst>
            <c:ext xmlns:c16="http://schemas.microsoft.com/office/drawing/2014/chart" uri="{C3380CC4-5D6E-409C-BE32-E72D297353CC}">
              <c16:uniqueId val="{00000001-D3AB-4F53-A618-E32A4F5D7EAB}"/>
            </c:ext>
          </c:extLst>
        </c:ser>
        <c:ser>
          <c:idx val="0"/>
          <c:order val="2"/>
          <c:tx>
            <c:strRef>
              <c:f>Template!$BB$32</c:f>
              <c:strCache>
                <c:ptCount val="1"/>
                <c:pt idx="0">
                  <c:v>Target</c:v>
                </c:pt>
              </c:strCache>
            </c:strRef>
          </c:tx>
          <c:spPr>
            <a:ln w="22225" cap="rnd">
              <a:solidFill>
                <a:schemeClr val="accent4"/>
              </a:solidFill>
              <a:round/>
            </a:ln>
            <a:effectLst/>
          </c:spPr>
          <c:marker>
            <c:symbol val="none"/>
          </c:marker>
          <c:val>
            <c:numRef>
              <c:f>Template!$BB$33:$BB$38</c:f>
              <c:numCache>
                <c:formatCode>General</c:formatCode>
                <c:ptCount val="6"/>
                <c:pt idx="0">
                  <c:v>1</c:v>
                </c:pt>
                <c:pt idx="1">
                  <c:v>1</c:v>
                </c:pt>
                <c:pt idx="2">
                  <c:v>1</c:v>
                </c:pt>
                <c:pt idx="3">
                  <c:v>1</c:v>
                </c:pt>
                <c:pt idx="4">
                  <c:v>1</c:v>
                </c:pt>
                <c:pt idx="5">
                  <c:v>1</c:v>
                </c:pt>
              </c:numCache>
            </c:numRef>
          </c:val>
          <c:smooth val="0"/>
          <c:extLst>
            <c:ext xmlns:c16="http://schemas.microsoft.com/office/drawing/2014/chart" uri="{C3380CC4-5D6E-409C-BE32-E72D297353CC}">
              <c16:uniqueId val="{00000000-24CB-4FBB-BADD-8447C2CE0682}"/>
            </c:ext>
          </c:extLst>
        </c:ser>
        <c:dLbls>
          <c:showLegendKey val="0"/>
          <c:showVal val="0"/>
          <c:showCatName val="0"/>
          <c:showSerName val="0"/>
          <c:showPercent val="0"/>
          <c:showBubbleSize val="0"/>
        </c:dLbls>
        <c:smooth val="0"/>
        <c:axId val="518369048"/>
        <c:axId val="518370032"/>
      </c:lineChart>
      <c:catAx>
        <c:axId val="51836904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NZ"/>
                  <a:t>Reporting Period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18370032"/>
        <c:crosses val="autoZero"/>
        <c:auto val="1"/>
        <c:lblAlgn val="ctr"/>
        <c:lblOffset val="100"/>
        <c:noMultiLvlLbl val="0"/>
      </c:catAx>
      <c:valAx>
        <c:axId val="518370032"/>
        <c:scaling>
          <c:orientation val="minMax"/>
          <c:min val="0.70000000000000007"/>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NZ"/>
                  <a:t>Performance Index</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18369048"/>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9525</xdr:colOff>
      <xdr:row>4</xdr:row>
      <xdr:rowOff>57150</xdr:rowOff>
    </xdr:from>
    <xdr:to>
      <xdr:col>5</xdr:col>
      <xdr:colOff>0</xdr:colOff>
      <xdr:row>6</xdr:row>
      <xdr:rowOff>19050</xdr:rowOff>
    </xdr:to>
    <xdr:cxnSp macro="">
      <xdr:nvCxnSpPr>
        <xdr:cNvPr id="2" name="Straight Arrow Connector 1">
          <a:extLst>
            <a:ext uri="{FF2B5EF4-FFF2-40B4-BE49-F238E27FC236}">
              <a16:creationId xmlns:a16="http://schemas.microsoft.com/office/drawing/2014/main" id="{005F36EB-2406-4CDA-A7FB-EC0D2FA95EC4}"/>
            </a:ext>
          </a:extLst>
        </xdr:cNvPr>
        <xdr:cNvCxnSpPr/>
      </xdr:nvCxnSpPr>
      <xdr:spPr>
        <a:xfrm flipV="1">
          <a:off x="962025" y="1019175"/>
          <a:ext cx="762000" cy="4572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9525</xdr:colOff>
      <xdr:row>8</xdr:row>
      <xdr:rowOff>190500</xdr:rowOff>
    </xdr:from>
    <xdr:to>
      <xdr:col>4</xdr:col>
      <xdr:colOff>762000</xdr:colOff>
      <xdr:row>20</xdr:row>
      <xdr:rowOff>83343</xdr:rowOff>
    </xdr:to>
    <xdr:cxnSp macro="">
      <xdr:nvCxnSpPr>
        <xdr:cNvPr id="3" name="Straight Arrow Connector 2">
          <a:extLst>
            <a:ext uri="{FF2B5EF4-FFF2-40B4-BE49-F238E27FC236}">
              <a16:creationId xmlns:a16="http://schemas.microsoft.com/office/drawing/2014/main" id="{3219A9F5-515F-42BF-9748-462D8D8722F2}"/>
            </a:ext>
          </a:extLst>
        </xdr:cNvPr>
        <xdr:cNvCxnSpPr/>
      </xdr:nvCxnSpPr>
      <xdr:spPr>
        <a:xfrm>
          <a:off x="962025" y="2124075"/>
          <a:ext cx="752475" cy="63579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600075</xdr:colOff>
      <xdr:row>3</xdr:row>
      <xdr:rowOff>19050</xdr:rowOff>
    </xdr:from>
    <xdr:to>
      <xdr:col>9</xdr:col>
      <xdr:colOff>0</xdr:colOff>
      <xdr:row>3</xdr:row>
      <xdr:rowOff>28575</xdr:rowOff>
    </xdr:to>
    <xdr:cxnSp macro="">
      <xdr:nvCxnSpPr>
        <xdr:cNvPr id="4" name="Straight Arrow Connector 3">
          <a:extLst>
            <a:ext uri="{FF2B5EF4-FFF2-40B4-BE49-F238E27FC236}">
              <a16:creationId xmlns:a16="http://schemas.microsoft.com/office/drawing/2014/main" id="{5446378D-37E6-4A33-923E-80EA5F3C5A7C}"/>
            </a:ext>
          </a:extLst>
        </xdr:cNvPr>
        <xdr:cNvCxnSpPr/>
      </xdr:nvCxnSpPr>
      <xdr:spPr>
        <a:xfrm flipV="1">
          <a:off x="2381250" y="742950"/>
          <a:ext cx="333375" cy="9525"/>
        </a:xfrm>
        <a:prstGeom prst="straightConnector1">
          <a:avLst/>
        </a:prstGeom>
        <a:ln>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590550</xdr:colOff>
      <xdr:row>20</xdr:row>
      <xdr:rowOff>114300</xdr:rowOff>
    </xdr:from>
    <xdr:to>
      <xdr:col>9</xdr:col>
      <xdr:colOff>9525</xdr:colOff>
      <xdr:row>20</xdr:row>
      <xdr:rowOff>114300</xdr:rowOff>
    </xdr:to>
    <xdr:cxnSp macro="">
      <xdr:nvCxnSpPr>
        <xdr:cNvPr id="5" name="Straight Arrow Connector 4">
          <a:extLst>
            <a:ext uri="{FF2B5EF4-FFF2-40B4-BE49-F238E27FC236}">
              <a16:creationId xmlns:a16="http://schemas.microsoft.com/office/drawing/2014/main" id="{B9978D58-98FC-4379-9FB4-DA06D9F65BD4}"/>
            </a:ext>
          </a:extLst>
        </xdr:cNvPr>
        <xdr:cNvCxnSpPr/>
      </xdr:nvCxnSpPr>
      <xdr:spPr>
        <a:xfrm>
          <a:off x="2381250" y="2790825"/>
          <a:ext cx="34290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11906</xdr:colOff>
      <xdr:row>3</xdr:row>
      <xdr:rowOff>83344</xdr:rowOff>
    </xdr:from>
    <xdr:to>
      <xdr:col>13</xdr:col>
      <xdr:colOff>226219</xdr:colOff>
      <xdr:row>7</xdr:row>
      <xdr:rowOff>23812</xdr:rowOff>
    </xdr:to>
    <xdr:cxnSp macro="">
      <xdr:nvCxnSpPr>
        <xdr:cNvPr id="6" name="Straight Arrow Connector 5">
          <a:extLst>
            <a:ext uri="{FF2B5EF4-FFF2-40B4-BE49-F238E27FC236}">
              <a16:creationId xmlns:a16="http://schemas.microsoft.com/office/drawing/2014/main" id="{C0D8949E-594B-4DBD-ADDF-4ED95344A4B9}"/>
            </a:ext>
          </a:extLst>
        </xdr:cNvPr>
        <xdr:cNvCxnSpPr/>
      </xdr:nvCxnSpPr>
      <xdr:spPr>
        <a:xfrm>
          <a:off x="3336131" y="807244"/>
          <a:ext cx="538163" cy="91201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178594</xdr:colOff>
      <xdr:row>7</xdr:row>
      <xdr:rowOff>166687</xdr:rowOff>
    </xdr:from>
    <xdr:to>
      <xdr:col>13</xdr:col>
      <xdr:colOff>238125</xdr:colOff>
      <xdr:row>20</xdr:row>
      <xdr:rowOff>119062</xdr:rowOff>
    </xdr:to>
    <xdr:cxnSp macro="">
      <xdr:nvCxnSpPr>
        <xdr:cNvPr id="7" name="Straight Arrow Connector 6">
          <a:extLst>
            <a:ext uri="{FF2B5EF4-FFF2-40B4-BE49-F238E27FC236}">
              <a16:creationId xmlns:a16="http://schemas.microsoft.com/office/drawing/2014/main" id="{3D115A2B-819C-4A32-97E1-40774BA1CB02}"/>
            </a:ext>
          </a:extLst>
        </xdr:cNvPr>
        <xdr:cNvCxnSpPr/>
      </xdr:nvCxnSpPr>
      <xdr:spPr>
        <a:xfrm flipV="1">
          <a:off x="3302794" y="1862137"/>
          <a:ext cx="583406" cy="9334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xdr:colOff>
      <xdr:row>7</xdr:row>
      <xdr:rowOff>107156</xdr:rowOff>
    </xdr:from>
    <xdr:to>
      <xdr:col>5</xdr:col>
      <xdr:colOff>11906</xdr:colOff>
      <xdr:row>7</xdr:row>
      <xdr:rowOff>130968</xdr:rowOff>
    </xdr:to>
    <xdr:cxnSp macro="">
      <xdr:nvCxnSpPr>
        <xdr:cNvPr id="8" name="Straight Arrow Connector 7">
          <a:extLst>
            <a:ext uri="{FF2B5EF4-FFF2-40B4-BE49-F238E27FC236}">
              <a16:creationId xmlns:a16="http://schemas.microsoft.com/office/drawing/2014/main" id="{6699492C-30FA-4F48-89E7-00F6D4BA4AF3}"/>
            </a:ext>
          </a:extLst>
        </xdr:cNvPr>
        <xdr:cNvCxnSpPr/>
      </xdr:nvCxnSpPr>
      <xdr:spPr>
        <a:xfrm flipV="1">
          <a:off x="952499" y="1802606"/>
          <a:ext cx="783432" cy="2381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11906</xdr:colOff>
      <xdr:row>7</xdr:row>
      <xdr:rowOff>107156</xdr:rowOff>
    </xdr:from>
    <xdr:to>
      <xdr:col>13</xdr:col>
      <xdr:colOff>226219</xdr:colOff>
      <xdr:row>7</xdr:row>
      <xdr:rowOff>142876</xdr:rowOff>
    </xdr:to>
    <xdr:cxnSp macro="">
      <xdr:nvCxnSpPr>
        <xdr:cNvPr id="9" name="Straight Arrow Connector 8">
          <a:extLst>
            <a:ext uri="{FF2B5EF4-FFF2-40B4-BE49-F238E27FC236}">
              <a16:creationId xmlns:a16="http://schemas.microsoft.com/office/drawing/2014/main" id="{AB73734D-D47A-4576-A467-91631D7BF4D8}"/>
            </a:ext>
          </a:extLst>
        </xdr:cNvPr>
        <xdr:cNvCxnSpPr/>
      </xdr:nvCxnSpPr>
      <xdr:spPr>
        <a:xfrm flipV="1">
          <a:off x="2393156" y="1802606"/>
          <a:ext cx="1481138" cy="3572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xdr:colOff>
      <xdr:row>0</xdr:row>
      <xdr:rowOff>0</xdr:rowOff>
    </xdr:from>
    <xdr:to>
      <xdr:col>19</xdr:col>
      <xdr:colOff>583406</xdr:colOff>
      <xdr:row>24</xdr:row>
      <xdr:rowOff>174172</xdr:rowOff>
    </xdr:to>
    <xdr:graphicFrame macro="">
      <xdr:nvGraphicFramePr>
        <xdr:cNvPr id="10" name="Chart 9">
          <a:extLst>
            <a:ext uri="{FF2B5EF4-FFF2-40B4-BE49-F238E27FC236}">
              <a16:creationId xmlns:a16="http://schemas.microsoft.com/office/drawing/2014/main" id="{2EE9383B-CFF9-479D-9848-65062B734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11904</xdr:colOff>
      <xdr:row>26</xdr:row>
      <xdr:rowOff>95250</xdr:rowOff>
    </xdr:from>
    <xdr:to>
      <xdr:col>19</xdr:col>
      <xdr:colOff>226217</xdr:colOff>
      <xdr:row>44</xdr:row>
      <xdr:rowOff>11907</xdr:rowOff>
    </xdr:to>
    <xdr:graphicFrame macro="">
      <xdr:nvGraphicFramePr>
        <xdr:cNvPr id="11" name="Chart 10">
          <a:extLst>
            <a:ext uri="{FF2B5EF4-FFF2-40B4-BE49-F238E27FC236}">
              <a16:creationId xmlns:a16="http://schemas.microsoft.com/office/drawing/2014/main" id="{B2E173C1-3FE6-449F-9581-D5898E3EA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084DE-3536-4F86-A34B-B91C28C8D59F}">
  <dimension ref="A1:BC47"/>
  <sheetViews>
    <sheetView showGridLines="0" tabSelected="1" topLeftCell="A13" zoomScale="60" zoomScaleNormal="60" workbookViewId="0">
      <selection activeCell="V13" sqref="V13"/>
    </sheetView>
  </sheetViews>
  <sheetFormatPr defaultRowHeight="18" x14ac:dyDescent="0.45"/>
  <cols>
    <col min="1" max="1" width="2.1328125" customWidth="1"/>
    <col min="2" max="2" width="4" customWidth="1"/>
    <col min="3" max="3" width="4.1328125" customWidth="1"/>
    <col min="4" max="4" width="4" customWidth="1"/>
    <col min="5" max="5" width="11.53125" customWidth="1"/>
    <col min="6" max="8" width="3.33203125" customWidth="1"/>
    <col min="9" max="9" width="5" customWidth="1"/>
    <col min="10" max="10" width="3" bestFit="1" customWidth="1"/>
    <col min="11" max="11" width="3.1328125" bestFit="1" customWidth="1"/>
    <col min="12" max="12" width="3" bestFit="1" customWidth="1"/>
    <col min="13" max="13" width="4.86328125" customWidth="1"/>
    <col min="14" max="14" width="3.6640625" customWidth="1"/>
    <col min="15" max="15" width="3.46484375" bestFit="1" customWidth="1"/>
    <col min="16" max="16" width="4.46484375" customWidth="1"/>
    <col min="17" max="17" width="3.46484375" bestFit="1" customWidth="1"/>
    <col min="18" max="18" width="1" customWidth="1"/>
    <col min="19" max="19" width="3" bestFit="1" customWidth="1"/>
    <col min="21" max="21" width="12.1328125" style="13" customWidth="1"/>
    <col min="22" max="22" width="14.46484375" style="13" bestFit="1" customWidth="1"/>
    <col min="23" max="23" width="30.1328125" style="13" bestFit="1" customWidth="1"/>
    <col min="24" max="24" width="14.6640625" style="13" bestFit="1" customWidth="1"/>
    <col min="25" max="25" width="14.53125" style="13" bestFit="1" customWidth="1"/>
    <col min="26" max="26" width="14.53125" style="13" customWidth="1"/>
    <col min="27" max="27" width="15.53125" style="13" bestFit="1" customWidth="1"/>
    <col min="28" max="28" width="22.53125" customWidth="1"/>
    <col min="32" max="32" width="14.33203125" bestFit="1" customWidth="1"/>
    <col min="51" max="51" width="12.6640625" bestFit="1" customWidth="1"/>
  </cols>
  <sheetData>
    <row r="1" spans="1:55" x14ac:dyDescent="0.45">
      <c r="W1" s="52" t="s">
        <v>86</v>
      </c>
      <c r="X1" s="53">
        <v>25920</v>
      </c>
      <c r="AY1" t="s">
        <v>79</v>
      </c>
      <c r="AZ1" t="s">
        <v>80</v>
      </c>
    </row>
    <row r="2" spans="1:55" ht="18.399999999999999" thickBot="1" x14ac:dyDescent="0.5">
      <c r="A2" s="1"/>
      <c r="B2" s="1"/>
      <c r="C2" s="2"/>
      <c r="D2" s="2"/>
      <c r="E2" s="2"/>
      <c r="F2" s="2"/>
      <c r="G2" s="2"/>
      <c r="H2" s="2"/>
      <c r="I2" s="2"/>
      <c r="J2" s="2"/>
      <c r="K2" s="2"/>
      <c r="L2" s="2"/>
      <c r="M2" s="2"/>
      <c r="N2" s="2"/>
      <c r="O2" s="2"/>
      <c r="P2" s="2"/>
      <c r="Q2" s="2"/>
      <c r="U2" s="38" t="s">
        <v>19</v>
      </c>
      <c r="V2" s="39"/>
      <c r="W2" s="39"/>
      <c r="X2" s="39"/>
      <c r="Y2" s="39"/>
      <c r="Z2" s="39"/>
      <c r="AA2" s="40"/>
      <c r="AB2" s="57" t="s">
        <v>37</v>
      </c>
      <c r="AC2" s="57"/>
      <c r="AD2" s="57"/>
      <c r="AE2" s="57"/>
      <c r="AF2" s="57"/>
      <c r="AG2" s="57"/>
      <c r="AH2" s="57"/>
      <c r="AI2" s="57"/>
      <c r="AJ2" s="57"/>
      <c r="AK2" s="57"/>
      <c r="AL2" s="57"/>
      <c r="AM2" s="57"/>
      <c r="AN2" s="57"/>
      <c r="AO2" s="2"/>
      <c r="AP2" s="2"/>
      <c r="AQ2" s="2"/>
      <c r="AR2" s="2"/>
      <c r="AS2" s="2"/>
      <c r="AT2" s="2"/>
      <c r="AU2" s="2"/>
      <c r="AV2" s="2"/>
      <c r="AW2" s="2"/>
      <c r="AX2" s="2"/>
      <c r="AY2" t="s">
        <v>81</v>
      </c>
      <c r="AZ2" t="s">
        <v>82</v>
      </c>
      <c r="BA2" s="37" t="s">
        <v>83</v>
      </c>
      <c r="BB2" t="s">
        <v>84</v>
      </c>
      <c r="BC2" s="15">
        <v>320</v>
      </c>
    </row>
    <row r="3" spans="1:55" x14ac:dyDescent="0.45">
      <c r="A3" s="2"/>
      <c r="B3" s="2"/>
      <c r="C3" s="2"/>
      <c r="D3" s="2"/>
      <c r="E3" s="2"/>
      <c r="F3" s="3">
        <f>D7</f>
        <v>2</v>
      </c>
      <c r="G3" s="4" t="s">
        <v>6</v>
      </c>
      <c r="H3" s="5">
        <f>F3+G5</f>
        <v>4</v>
      </c>
      <c r="I3" s="2"/>
      <c r="J3" s="3">
        <f>H3</f>
        <v>4</v>
      </c>
      <c r="K3" s="4" t="s">
        <v>9</v>
      </c>
      <c r="L3" s="5">
        <f>J3+K5</f>
        <v>8</v>
      </c>
      <c r="M3" s="2"/>
      <c r="N3" s="2"/>
      <c r="O3" s="2"/>
      <c r="P3" s="2"/>
      <c r="Q3" s="2"/>
      <c r="U3" s="14" t="s">
        <v>38</v>
      </c>
      <c r="V3" s="14" t="s">
        <v>39</v>
      </c>
      <c r="W3" s="14" t="s">
        <v>2</v>
      </c>
      <c r="X3" s="14" t="s">
        <v>3</v>
      </c>
      <c r="Y3" s="14" t="s">
        <v>4</v>
      </c>
      <c r="Z3" s="14" t="s">
        <v>85</v>
      </c>
      <c r="AA3" s="14" t="s">
        <v>40</v>
      </c>
      <c r="AB3" s="15">
        <v>1</v>
      </c>
      <c r="AC3" s="15">
        <v>2</v>
      </c>
      <c r="AD3" s="15">
        <v>3</v>
      </c>
      <c r="AE3" s="15">
        <v>4</v>
      </c>
      <c r="AF3" s="15">
        <v>5</v>
      </c>
      <c r="AG3" s="15">
        <v>6</v>
      </c>
      <c r="AH3" s="15">
        <v>7</v>
      </c>
      <c r="AI3" s="15">
        <v>8</v>
      </c>
      <c r="AJ3" s="15">
        <v>9</v>
      </c>
      <c r="AK3" s="15">
        <v>10</v>
      </c>
      <c r="AL3" s="15">
        <v>11</v>
      </c>
      <c r="AM3" s="15">
        <v>12</v>
      </c>
      <c r="AN3" s="15">
        <v>13</v>
      </c>
      <c r="AO3" s="15">
        <v>14</v>
      </c>
      <c r="AP3" s="15">
        <v>15</v>
      </c>
      <c r="AQ3" s="15">
        <v>16</v>
      </c>
      <c r="AR3" s="15">
        <v>17</v>
      </c>
      <c r="AS3" s="15">
        <v>18</v>
      </c>
      <c r="AT3" s="15">
        <v>19</v>
      </c>
      <c r="AU3" s="15">
        <v>20</v>
      </c>
      <c r="AV3" s="15">
        <v>21</v>
      </c>
      <c r="AW3" s="15">
        <v>22</v>
      </c>
      <c r="AX3" s="15"/>
    </row>
    <row r="4" spans="1:55" x14ac:dyDescent="0.45">
      <c r="A4" s="2"/>
      <c r="B4" s="2"/>
      <c r="C4" s="2"/>
      <c r="D4" s="2"/>
      <c r="E4" s="2"/>
      <c r="F4" s="6">
        <f>F5-F3</f>
        <v>3</v>
      </c>
      <c r="G4" s="11"/>
      <c r="H4" s="7"/>
      <c r="I4" s="2"/>
      <c r="J4" s="6">
        <f>J5-J3</f>
        <v>3</v>
      </c>
      <c r="K4" s="11"/>
      <c r="L4" s="7"/>
      <c r="M4" s="2"/>
      <c r="N4" s="2"/>
      <c r="O4" s="2"/>
      <c r="P4" s="2"/>
      <c r="Q4" s="2"/>
      <c r="U4" s="14" t="s">
        <v>5</v>
      </c>
      <c r="V4" s="14">
        <v>1</v>
      </c>
      <c r="W4" s="14">
        <v>0</v>
      </c>
      <c r="X4" s="14">
        <v>1</v>
      </c>
      <c r="Y4" s="14">
        <v>0</v>
      </c>
      <c r="Z4" s="14">
        <v>5</v>
      </c>
      <c r="AA4" s="48">
        <f>Z4*320*V4</f>
        <v>1600</v>
      </c>
      <c r="AB4" s="16">
        <v>16</v>
      </c>
      <c r="AC4" s="50"/>
      <c r="AD4" s="50"/>
      <c r="AE4" s="50"/>
      <c r="AF4" s="50"/>
      <c r="AG4" s="50"/>
      <c r="AH4" s="50"/>
      <c r="AI4" s="50"/>
      <c r="AJ4" s="50"/>
      <c r="AK4" s="50"/>
      <c r="AL4" s="50"/>
      <c r="AM4" s="50"/>
      <c r="AN4" s="50"/>
      <c r="AO4" s="50"/>
      <c r="AP4" s="50"/>
      <c r="AQ4" s="50"/>
      <c r="AR4" s="50"/>
      <c r="AS4" s="50"/>
      <c r="AT4" s="50"/>
      <c r="AU4" s="50"/>
      <c r="AV4" s="50"/>
      <c r="AW4" s="50"/>
      <c r="AX4" s="47"/>
      <c r="AY4" s="24" t="s">
        <v>29</v>
      </c>
      <c r="AZ4" s="24" t="s">
        <v>14</v>
      </c>
      <c r="BA4" s="24" t="s">
        <v>15</v>
      </c>
      <c r="BB4" s="24" t="s">
        <v>16</v>
      </c>
    </row>
    <row r="5" spans="1:55" ht="18.399999999999999" thickBot="1" x14ac:dyDescent="0.5">
      <c r="A5" s="2"/>
      <c r="B5" s="2"/>
      <c r="C5" s="2"/>
      <c r="D5" s="2"/>
      <c r="E5" s="2"/>
      <c r="F5" s="8">
        <f>H5-G5</f>
        <v>5</v>
      </c>
      <c r="G5" s="9">
        <v>2</v>
      </c>
      <c r="H5" s="10">
        <f>J5</f>
        <v>7</v>
      </c>
      <c r="I5" s="2"/>
      <c r="J5" s="8">
        <f>L5-K5</f>
        <v>7</v>
      </c>
      <c r="K5" s="9">
        <v>4</v>
      </c>
      <c r="L5" s="10">
        <f>O9</f>
        <v>11</v>
      </c>
      <c r="M5" s="2"/>
      <c r="N5" s="2"/>
      <c r="O5" s="2"/>
      <c r="P5" s="2"/>
      <c r="Q5" s="2"/>
      <c r="U5" s="14" t="s">
        <v>6</v>
      </c>
      <c r="V5" s="14">
        <v>3</v>
      </c>
      <c r="W5" s="14">
        <v>1</v>
      </c>
      <c r="X5" s="14">
        <v>4</v>
      </c>
      <c r="Y5" s="14">
        <v>0</v>
      </c>
      <c r="Z5" s="14">
        <v>5</v>
      </c>
      <c r="AA5" s="48">
        <f t="shared" ref="AA5:AA18" si="0">Z5*320*V5</f>
        <v>4800</v>
      </c>
      <c r="AB5" s="50"/>
      <c r="AC5" s="16">
        <v>16</v>
      </c>
      <c r="AD5" s="16">
        <v>16</v>
      </c>
      <c r="AE5" s="16">
        <v>16</v>
      </c>
      <c r="AF5" s="50"/>
      <c r="AG5" s="50"/>
      <c r="AH5" s="50"/>
      <c r="AI5" s="50"/>
      <c r="AJ5" s="50"/>
      <c r="AK5" s="50"/>
      <c r="AL5" s="50"/>
      <c r="AM5" s="50"/>
      <c r="AN5" s="50"/>
      <c r="AO5" s="50"/>
      <c r="AP5" s="50"/>
      <c r="AQ5" s="50"/>
      <c r="AR5" s="50"/>
      <c r="AS5" s="50"/>
      <c r="AT5" s="50"/>
      <c r="AU5" s="50"/>
      <c r="AV5" s="50"/>
      <c r="AW5" s="50"/>
      <c r="AX5" s="47"/>
      <c r="AY5" s="24">
        <v>0</v>
      </c>
      <c r="AZ5" s="12">
        <v>0</v>
      </c>
      <c r="BA5" s="12">
        <v>0</v>
      </c>
      <c r="BB5" s="12">
        <v>0</v>
      </c>
    </row>
    <row r="6" spans="1:55" ht="18.399999999999999" thickBot="1" x14ac:dyDescent="0.5">
      <c r="A6" s="2"/>
      <c r="B6" s="2"/>
      <c r="C6" s="2"/>
      <c r="D6" s="2"/>
      <c r="E6" s="2"/>
      <c r="F6" s="2"/>
      <c r="G6" s="2"/>
      <c r="H6" s="2"/>
      <c r="I6" s="2"/>
      <c r="J6" s="2"/>
      <c r="K6" s="2"/>
      <c r="L6" s="2"/>
      <c r="M6" s="2"/>
      <c r="N6" s="2"/>
      <c r="U6" s="14" t="s">
        <v>7</v>
      </c>
      <c r="V6" s="14">
        <v>2</v>
      </c>
      <c r="W6" s="14">
        <v>4</v>
      </c>
      <c r="X6" s="14">
        <v>6</v>
      </c>
      <c r="Y6" s="14">
        <v>0</v>
      </c>
      <c r="Z6" s="14">
        <v>2</v>
      </c>
      <c r="AA6" s="48">
        <f t="shared" si="0"/>
        <v>1280</v>
      </c>
      <c r="AB6" s="50"/>
      <c r="AC6" s="50"/>
      <c r="AD6" s="50"/>
      <c r="AE6" s="50"/>
      <c r="AF6" s="16">
        <v>6.4</v>
      </c>
      <c r="AG6" s="16">
        <v>6.4</v>
      </c>
      <c r="AH6" s="50"/>
      <c r="AI6" s="50"/>
      <c r="AJ6" s="50"/>
      <c r="AK6" s="50"/>
      <c r="AL6" s="50"/>
      <c r="AM6" s="50"/>
      <c r="AN6" s="50"/>
      <c r="AO6" s="50"/>
      <c r="AP6" s="50"/>
      <c r="AQ6" s="50"/>
      <c r="AR6" s="50"/>
      <c r="AS6" s="50"/>
      <c r="AT6" s="50"/>
      <c r="AU6" s="50"/>
      <c r="AV6" s="50"/>
      <c r="AW6" s="50"/>
      <c r="AX6" s="47"/>
      <c r="AY6" s="24">
        <v>1</v>
      </c>
      <c r="AZ6" s="12">
        <f>+W26</f>
        <v>1440</v>
      </c>
      <c r="BA6" s="12">
        <f>+X26</f>
        <v>1500</v>
      </c>
      <c r="BB6" s="12">
        <f>+Y26</f>
        <v>1600</v>
      </c>
    </row>
    <row r="7" spans="1:55" x14ac:dyDescent="0.45">
      <c r="A7" s="2"/>
      <c r="B7" s="3">
        <v>0</v>
      </c>
      <c r="C7" s="4" t="s">
        <v>5</v>
      </c>
      <c r="D7" s="5">
        <f>B7+C9</f>
        <v>2</v>
      </c>
      <c r="E7" s="2"/>
      <c r="F7" s="3">
        <f>D7</f>
        <v>2</v>
      </c>
      <c r="G7" s="4" t="s">
        <v>7</v>
      </c>
      <c r="H7" s="5">
        <f>F7+G9</f>
        <v>8</v>
      </c>
      <c r="I7" s="2"/>
      <c r="M7" s="2"/>
      <c r="N7" s="2"/>
      <c r="O7" s="3">
        <f>MAX(L3,L20,H7)</f>
        <v>11</v>
      </c>
      <c r="P7" s="4" t="s">
        <v>11</v>
      </c>
      <c r="Q7" s="5">
        <f>O7+P9</f>
        <v>13</v>
      </c>
      <c r="U7" s="14" t="s">
        <v>8</v>
      </c>
      <c r="V7" s="14">
        <v>3</v>
      </c>
      <c r="W7" s="14">
        <v>6</v>
      </c>
      <c r="X7" s="14">
        <v>9</v>
      </c>
      <c r="Y7" s="14">
        <v>0</v>
      </c>
      <c r="Z7" s="14">
        <v>2</v>
      </c>
      <c r="AA7" s="48">
        <f t="shared" si="0"/>
        <v>1920</v>
      </c>
      <c r="AB7" s="50"/>
      <c r="AC7" s="50"/>
      <c r="AD7" s="50"/>
      <c r="AE7" s="50"/>
      <c r="AF7" s="50"/>
      <c r="AG7" s="50"/>
      <c r="AH7" s="16">
        <v>6.4</v>
      </c>
      <c r="AI7" s="16">
        <v>6.4</v>
      </c>
      <c r="AJ7" s="16">
        <v>6.4</v>
      </c>
      <c r="AK7" s="50"/>
      <c r="AL7" s="50"/>
      <c r="AM7" s="50"/>
      <c r="AN7" s="50"/>
      <c r="AO7" s="50"/>
      <c r="AP7" s="50"/>
      <c r="AQ7" s="50"/>
      <c r="AR7" s="50"/>
      <c r="AS7" s="50"/>
      <c r="AT7" s="50"/>
      <c r="AU7" s="50"/>
      <c r="AV7" s="50"/>
      <c r="AW7" s="50"/>
      <c r="AX7" s="47"/>
      <c r="AY7" s="24">
        <v>2</v>
      </c>
      <c r="AZ7" s="12">
        <f>+W32</f>
        <v>2560</v>
      </c>
      <c r="BA7" s="12">
        <f>+X32</f>
        <v>2550</v>
      </c>
      <c r="BB7" s="12">
        <f>+Y32</f>
        <v>3200</v>
      </c>
    </row>
    <row r="8" spans="1:55" x14ac:dyDescent="0.45">
      <c r="A8" s="2"/>
      <c r="B8" s="6">
        <f>B9-B7</f>
        <v>0</v>
      </c>
      <c r="C8" s="11"/>
      <c r="D8" s="7"/>
      <c r="E8" s="2"/>
      <c r="F8" s="6">
        <f>F9-F7</f>
        <v>3</v>
      </c>
      <c r="G8" s="11"/>
      <c r="H8" s="7"/>
      <c r="I8" s="2"/>
      <c r="M8" s="2"/>
      <c r="N8" s="2"/>
      <c r="O8" s="6">
        <f>O9-O7</f>
        <v>0</v>
      </c>
      <c r="P8" s="11"/>
      <c r="Q8" s="7"/>
      <c r="U8" s="14" t="s">
        <v>9</v>
      </c>
      <c r="V8" s="14">
        <v>2</v>
      </c>
      <c r="W8" s="14">
        <v>6</v>
      </c>
      <c r="X8" s="14">
        <v>8</v>
      </c>
      <c r="Y8" s="14">
        <v>1</v>
      </c>
      <c r="Z8" s="14">
        <v>2</v>
      </c>
      <c r="AA8" s="48">
        <f t="shared" si="0"/>
        <v>1280</v>
      </c>
      <c r="AB8" s="50"/>
      <c r="AC8" s="50"/>
      <c r="AD8" s="50"/>
      <c r="AE8" s="50"/>
      <c r="AF8" s="50"/>
      <c r="AG8" s="50"/>
      <c r="AH8" s="16">
        <v>6.4</v>
      </c>
      <c r="AI8" s="16">
        <v>6.4</v>
      </c>
      <c r="AJ8" s="50"/>
      <c r="AK8" s="50"/>
      <c r="AL8" s="50"/>
      <c r="AM8" s="50"/>
      <c r="AN8" s="50"/>
      <c r="AO8" s="50"/>
      <c r="AP8" s="50"/>
      <c r="AQ8" s="50"/>
      <c r="AR8" s="50"/>
      <c r="AS8" s="50"/>
      <c r="AT8" s="50"/>
      <c r="AU8" s="50"/>
      <c r="AV8" s="50"/>
      <c r="AW8" s="50"/>
      <c r="AX8" s="47"/>
      <c r="AY8" s="24">
        <v>3</v>
      </c>
      <c r="AZ8" s="12">
        <f>+W39</f>
        <v>4240</v>
      </c>
      <c r="BA8" s="12">
        <f>+X39</f>
        <v>4150</v>
      </c>
      <c r="BB8" s="12">
        <f>+Y39</f>
        <v>4800</v>
      </c>
    </row>
    <row r="9" spans="1:55" ht="18.399999999999999" thickBot="1" x14ac:dyDescent="0.5">
      <c r="A9" s="2"/>
      <c r="B9" s="8">
        <f>D9-C9</f>
        <v>0</v>
      </c>
      <c r="C9" s="9">
        <v>2</v>
      </c>
      <c r="D9" s="10">
        <f>MIN(F5,F22,F9)</f>
        <v>2</v>
      </c>
      <c r="E9" s="2"/>
      <c r="F9" s="8">
        <f>H9-G9</f>
        <v>5</v>
      </c>
      <c r="G9" s="9">
        <v>6</v>
      </c>
      <c r="H9" s="10">
        <f>O9</f>
        <v>11</v>
      </c>
      <c r="I9" s="2"/>
      <c r="M9" s="2"/>
      <c r="N9" s="2"/>
      <c r="O9" s="8">
        <f>Q9-P9</f>
        <v>11</v>
      </c>
      <c r="P9" s="9">
        <v>2</v>
      </c>
      <c r="Q9" s="10">
        <f>Q7</f>
        <v>13</v>
      </c>
      <c r="U9" s="14" t="s">
        <v>10</v>
      </c>
      <c r="V9" s="14">
        <v>1</v>
      </c>
      <c r="W9" s="14">
        <v>9</v>
      </c>
      <c r="X9" s="14">
        <v>10</v>
      </c>
      <c r="Y9" s="14">
        <v>0</v>
      </c>
      <c r="Z9" s="14">
        <v>5</v>
      </c>
      <c r="AA9" s="48">
        <f t="shared" si="0"/>
        <v>1600</v>
      </c>
      <c r="AB9" s="50"/>
      <c r="AC9" s="50"/>
      <c r="AD9" s="50"/>
      <c r="AE9" s="50"/>
      <c r="AF9" s="50"/>
      <c r="AG9" s="50"/>
      <c r="AH9" s="50"/>
      <c r="AI9" s="50"/>
      <c r="AJ9" s="50"/>
      <c r="AK9" s="16">
        <v>16</v>
      </c>
      <c r="AL9" s="50"/>
      <c r="AM9" s="50"/>
      <c r="AN9" s="50"/>
      <c r="AO9" s="50"/>
      <c r="AP9" s="50"/>
      <c r="AQ9" s="50"/>
      <c r="AR9" s="50"/>
      <c r="AS9" s="50"/>
      <c r="AT9" s="50"/>
      <c r="AU9" s="50"/>
      <c r="AV9" s="50"/>
      <c r="AW9" s="50"/>
      <c r="AX9" s="47"/>
      <c r="AY9" s="24">
        <v>4</v>
      </c>
      <c r="AZ9" s="12">
        <f>+AF29</f>
        <v>6400</v>
      </c>
      <c r="BA9" s="12">
        <f t="shared" ref="BA9:BB9" si="1">+AG29</f>
        <v>6200</v>
      </c>
      <c r="BB9" s="12">
        <f t="shared" si="1"/>
        <v>6400</v>
      </c>
    </row>
    <row r="10" spans="1:55" x14ac:dyDescent="0.45">
      <c r="A10" s="2"/>
      <c r="B10" s="2"/>
      <c r="C10" s="2"/>
      <c r="D10" s="2"/>
      <c r="E10" s="2"/>
      <c r="F10" s="2"/>
      <c r="G10" s="2"/>
      <c r="H10" s="2"/>
      <c r="I10" s="2"/>
      <c r="J10" s="2"/>
      <c r="K10" s="2"/>
      <c r="L10" s="2"/>
      <c r="M10" s="2"/>
      <c r="N10" s="2"/>
      <c r="O10" s="2"/>
      <c r="P10" s="2"/>
      <c r="Q10" s="2"/>
      <c r="U10" s="14" t="s">
        <v>11</v>
      </c>
      <c r="V10" s="14">
        <v>2</v>
      </c>
      <c r="W10" s="14">
        <v>10</v>
      </c>
      <c r="X10" s="14">
        <v>12</v>
      </c>
      <c r="Y10" s="14">
        <v>0</v>
      </c>
      <c r="Z10" s="14">
        <v>2</v>
      </c>
      <c r="AA10" s="48">
        <f t="shared" si="0"/>
        <v>1280</v>
      </c>
      <c r="AB10" s="50"/>
      <c r="AC10" s="50"/>
      <c r="AD10" s="50"/>
      <c r="AE10" s="50"/>
      <c r="AF10" s="50"/>
      <c r="AG10" s="50"/>
      <c r="AH10" s="50"/>
      <c r="AI10" s="50"/>
      <c r="AJ10" s="50"/>
      <c r="AK10" s="50"/>
      <c r="AL10" s="16">
        <v>6.4</v>
      </c>
      <c r="AM10" s="16">
        <v>6.4</v>
      </c>
      <c r="AN10" s="50"/>
      <c r="AO10" s="50"/>
      <c r="AP10" s="50"/>
      <c r="AQ10" s="50"/>
      <c r="AR10" s="50"/>
      <c r="AS10" s="50"/>
      <c r="AT10" s="50"/>
      <c r="AU10" s="50"/>
      <c r="AV10" s="50"/>
      <c r="AW10" s="50"/>
      <c r="AX10" s="47"/>
      <c r="AY10" s="24">
        <v>5</v>
      </c>
      <c r="AZ10" s="12">
        <f>+AF38</f>
        <v>6848</v>
      </c>
      <c r="BA10" s="12">
        <f t="shared" ref="BA10:BB10" si="2">+AG38</f>
        <v>6700</v>
      </c>
      <c r="BB10" s="12">
        <f t="shared" si="2"/>
        <v>7040</v>
      </c>
    </row>
    <row r="11" spans="1:55" x14ac:dyDescent="0.45">
      <c r="A11" s="2"/>
      <c r="B11" s="2"/>
      <c r="C11" s="2"/>
      <c r="D11" s="2"/>
      <c r="E11" s="2"/>
      <c r="F11" s="2"/>
      <c r="G11" s="2"/>
      <c r="H11" s="2"/>
      <c r="I11" s="2"/>
      <c r="J11" s="2"/>
      <c r="K11" s="2"/>
      <c r="L11" s="2"/>
      <c r="M11" s="2"/>
      <c r="N11" s="2"/>
      <c r="O11" s="2"/>
      <c r="P11" s="2"/>
      <c r="Q11" s="2"/>
      <c r="U11" s="14" t="s">
        <v>45</v>
      </c>
      <c r="V11" s="14">
        <v>3</v>
      </c>
      <c r="W11" s="14">
        <v>12</v>
      </c>
      <c r="X11" s="14">
        <v>15</v>
      </c>
      <c r="Y11" s="14">
        <v>0</v>
      </c>
      <c r="Z11" s="14">
        <v>3</v>
      </c>
      <c r="AA11" s="48">
        <f t="shared" si="0"/>
        <v>2880</v>
      </c>
      <c r="AB11" s="50"/>
      <c r="AC11" s="50"/>
      <c r="AD11" s="50"/>
      <c r="AE11" s="50"/>
      <c r="AF11" s="50"/>
      <c r="AG11" s="50"/>
      <c r="AH11" s="50"/>
      <c r="AI11" s="50"/>
      <c r="AJ11" s="50"/>
      <c r="AK11" s="50"/>
      <c r="AL11" s="50"/>
      <c r="AM11" s="50"/>
      <c r="AN11" s="16">
        <v>9.6</v>
      </c>
      <c r="AO11" s="16">
        <v>9.6</v>
      </c>
      <c r="AP11" s="16">
        <v>9.6</v>
      </c>
      <c r="AQ11" s="50"/>
      <c r="AR11" s="50"/>
      <c r="AS11" s="50"/>
      <c r="AT11" s="50"/>
      <c r="AU11" s="50"/>
      <c r="AV11" s="50"/>
      <c r="AW11" s="50"/>
      <c r="AX11" s="47"/>
      <c r="AY11" s="24">
        <v>6</v>
      </c>
      <c r="AZ11" s="12">
        <f>+AF47</f>
        <v>7680</v>
      </c>
      <c r="BA11" s="12">
        <f>+AG47</f>
        <v>7400</v>
      </c>
      <c r="BB11" s="12">
        <f>+AH47</f>
        <v>7680</v>
      </c>
    </row>
    <row r="12" spans="1:55" x14ac:dyDescent="0.45">
      <c r="A12" s="2"/>
      <c r="B12" s="2"/>
      <c r="C12" s="2"/>
      <c r="D12" s="2"/>
      <c r="E12" s="2"/>
      <c r="F12" s="2"/>
      <c r="G12" s="2"/>
      <c r="H12" s="2"/>
      <c r="I12" s="2"/>
      <c r="J12" s="2"/>
      <c r="K12" s="2"/>
      <c r="L12" s="2"/>
      <c r="M12" s="2"/>
      <c r="N12" s="2"/>
      <c r="O12" s="2"/>
      <c r="P12" s="2"/>
      <c r="Q12" s="2"/>
      <c r="U12" s="14" t="s">
        <v>46</v>
      </c>
      <c r="V12" s="14">
        <v>1</v>
      </c>
      <c r="W12" s="14">
        <v>15</v>
      </c>
      <c r="X12" s="14">
        <v>16</v>
      </c>
      <c r="Y12" s="14">
        <v>2</v>
      </c>
      <c r="Z12" s="14">
        <v>0</v>
      </c>
      <c r="AA12" s="48">
        <f t="shared" si="0"/>
        <v>0</v>
      </c>
      <c r="AB12" s="50"/>
      <c r="AC12" s="50"/>
      <c r="AD12" s="50"/>
      <c r="AE12" s="50"/>
      <c r="AF12" s="50"/>
      <c r="AG12" s="50"/>
      <c r="AH12" s="50"/>
      <c r="AI12" s="50"/>
      <c r="AJ12" s="50"/>
      <c r="AK12" s="50"/>
      <c r="AL12" s="50"/>
      <c r="AM12" s="50"/>
      <c r="AN12" s="50"/>
      <c r="AO12" s="50"/>
      <c r="AP12" s="50"/>
      <c r="AQ12" s="16">
        <v>0</v>
      </c>
      <c r="AR12" s="50"/>
      <c r="AS12" s="50"/>
      <c r="AT12" s="50"/>
      <c r="AU12" s="50"/>
      <c r="AV12" s="50"/>
      <c r="AW12" s="50"/>
      <c r="AX12" s="47"/>
      <c r="AY12" s="24">
        <v>7</v>
      </c>
      <c r="AZ12" s="12"/>
      <c r="BA12" s="12"/>
      <c r="BB12" s="12"/>
    </row>
    <row r="13" spans="1:55" x14ac:dyDescent="0.45">
      <c r="A13" s="2"/>
      <c r="B13" s="2"/>
      <c r="C13" s="2"/>
      <c r="D13" s="2"/>
      <c r="E13" s="2"/>
      <c r="F13" s="2"/>
      <c r="G13" s="2"/>
      <c r="H13" s="2"/>
      <c r="I13" s="2"/>
      <c r="J13" s="2"/>
      <c r="K13" s="2"/>
      <c r="L13" s="2"/>
      <c r="M13" s="2"/>
      <c r="N13" s="2"/>
      <c r="O13" s="2"/>
      <c r="P13" s="2"/>
      <c r="Q13" s="2"/>
      <c r="U13" s="14" t="s">
        <v>47</v>
      </c>
      <c r="V13" s="14">
        <v>2</v>
      </c>
      <c r="W13" s="14">
        <v>15</v>
      </c>
      <c r="X13" s="14">
        <v>17</v>
      </c>
      <c r="Y13" s="14">
        <v>0</v>
      </c>
      <c r="Z13" s="14">
        <v>5</v>
      </c>
      <c r="AA13" s="48">
        <f t="shared" si="0"/>
        <v>3200</v>
      </c>
      <c r="AB13" s="50"/>
      <c r="AC13" s="50"/>
      <c r="AD13" s="50"/>
      <c r="AE13" s="50"/>
      <c r="AF13" s="50"/>
      <c r="AG13" s="50"/>
      <c r="AH13" s="50"/>
      <c r="AI13" s="50"/>
      <c r="AJ13" s="50"/>
      <c r="AK13" s="50"/>
      <c r="AL13" s="50"/>
      <c r="AM13" s="50"/>
      <c r="AN13" s="50"/>
      <c r="AO13" s="50"/>
      <c r="AP13" s="50"/>
      <c r="AQ13" s="50"/>
      <c r="AR13" s="16">
        <v>16</v>
      </c>
      <c r="AS13" s="16">
        <v>16</v>
      </c>
      <c r="AU13" s="50"/>
      <c r="AV13" s="50"/>
      <c r="AW13" s="50"/>
      <c r="AX13" s="47"/>
      <c r="AY13" s="24">
        <v>8</v>
      </c>
      <c r="AZ13" s="12"/>
      <c r="BA13" s="12"/>
      <c r="BB13" s="12"/>
    </row>
    <row r="14" spans="1:55" x14ac:dyDescent="0.45">
      <c r="A14" s="2"/>
      <c r="B14" s="2"/>
      <c r="C14" s="2"/>
      <c r="D14" s="2"/>
      <c r="E14" s="2"/>
      <c r="F14" s="2"/>
      <c r="G14" s="2"/>
      <c r="H14" s="2"/>
      <c r="I14" s="2"/>
      <c r="J14" s="2"/>
      <c r="K14" s="2"/>
      <c r="L14" s="2"/>
      <c r="M14" s="2"/>
      <c r="N14" s="2"/>
      <c r="O14" s="2"/>
      <c r="P14" s="2"/>
      <c r="Q14" s="2"/>
      <c r="U14" s="14" t="s">
        <v>48</v>
      </c>
      <c r="V14" s="14">
        <v>1</v>
      </c>
      <c r="W14" s="14">
        <v>17</v>
      </c>
      <c r="X14" s="14">
        <v>18</v>
      </c>
      <c r="Y14" s="14">
        <v>0</v>
      </c>
      <c r="Z14" s="14">
        <v>0</v>
      </c>
      <c r="AA14" s="48">
        <f t="shared" si="0"/>
        <v>0</v>
      </c>
      <c r="AB14" s="50"/>
      <c r="AC14" s="50"/>
      <c r="AD14" s="50"/>
      <c r="AE14" s="50"/>
      <c r="AF14" s="50"/>
      <c r="AG14" s="50"/>
      <c r="AH14" s="50"/>
      <c r="AI14" s="50"/>
      <c r="AJ14" s="50"/>
      <c r="AK14" s="50"/>
      <c r="AL14" s="50"/>
      <c r="AM14" s="50"/>
      <c r="AN14" s="50"/>
      <c r="AO14" s="50"/>
      <c r="AP14" s="50"/>
      <c r="AQ14" s="50"/>
      <c r="AR14" s="50"/>
      <c r="AS14" s="16">
        <v>0</v>
      </c>
      <c r="AT14" s="50"/>
      <c r="AU14" s="50"/>
      <c r="AV14" s="50"/>
      <c r="AW14" s="50"/>
      <c r="AX14" s="47"/>
      <c r="AY14" s="24">
        <v>9</v>
      </c>
      <c r="AZ14" s="12"/>
      <c r="BA14" s="12"/>
      <c r="BB14" s="12"/>
    </row>
    <row r="15" spans="1:55" x14ac:dyDescent="0.45">
      <c r="A15" s="2"/>
      <c r="B15" s="2"/>
      <c r="C15" s="2"/>
      <c r="D15" s="2"/>
      <c r="E15" s="2"/>
      <c r="F15" s="2"/>
      <c r="G15" s="2"/>
      <c r="H15" s="2"/>
      <c r="I15" s="2"/>
      <c r="J15" s="2"/>
      <c r="K15" s="2"/>
      <c r="L15" s="2"/>
      <c r="M15" s="2"/>
      <c r="N15" s="2"/>
      <c r="O15" s="2"/>
      <c r="P15" s="2"/>
      <c r="Q15" s="2"/>
      <c r="U15" s="14" t="s">
        <v>49</v>
      </c>
      <c r="V15" s="14">
        <v>4</v>
      </c>
      <c r="W15" s="14">
        <v>10</v>
      </c>
      <c r="X15" s="14">
        <v>14</v>
      </c>
      <c r="Y15" s="14">
        <v>4</v>
      </c>
      <c r="Z15" s="14">
        <v>2</v>
      </c>
      <c r="AA15" s="48">
        <f t="shared" si="0"/>
        <v>2560</v>
      </c>
      <c r="AB15" s="50"/>
      <c r="AC15" s="50"/>
      <c r="AD15" s="50"/>
      <c r="AE15" s="50"/>
      <c r="AF15" s="50"/>
      <c r="AG15" s="50"/>
      <c r="AH15" s="50"/>
      <c r="AI15" s="50"/>
      <c r="AJ15" s="50"/>
      <c r="AK15" s="50"/>
      <c r="AL15" s="16">
        <v>6.4</v>
      </c>
      <c r="AM15" s="16">
        <v>6.4</v>
      </c>
      <c r="AN15" s="16">
        <v>6.4</v>
      </c>
      <c r="AO15" s="16">
        <v>6.4</v>
      </c>
      <c r="AP15" s="50"/>
      <c r="AQ15" s="50"/>
      <c r="AR15" s="50"/>
      <c r="AS15" s="50"/>
      <c r="AT15" s="50"/>
      <c r="AU15" s="50"/>
      <c r="AV15" s="50"/>
      <c r="AW15" s="50"/>
      <c r="AX15" s="47"/>
      <c r="AY15" s="24">
        <v>10</v>
      </c>
      <c r="AZ15" s="12"/>
      <c r="BA15" s="12"/>
      <c r="BB15" s="12"/>
    </row>
    <row r="16" spans="1:55" x14ac:dyDescent="0.45">
      <c r="A16" s="2"/>
      <c r="B16" s="2"/>
      <c r="C16" s="2"/>
      <c r="D16" s="2"/>
      <c r="E16" s="2"/>
      <c r="F16" s="2"/>
      <c r="G16" s="2"/>
      <c r="H16" s="2"/>
      <c r="I16" s="2"/>
      <c r="J16" s="2"/>
      <c r="K16" s="2"/>
      <c r="L16" s="2"/>
      <c r="M16" s="2"/>
      <c r="N16" s="2"/>
      <c r="O16" s="2"/>
      <c r="P16" s="2"/>
      <c r="Q16" s="2"/>
      <c r="U16" s="14" t="s">
        <v>50</v>
      </c>
      <c r="V16" s="14">
        <v>3</v>
      </c>
      <c r="W16" s="14">
        <v>18</v>
      </c>
      <c r="X16" s="14">
        <v>21</v>
      </c>
      <c r="Y16" s="14">
        <v>0</v>
      </c>
      <c r="Z16" s="14">
        <v>2</v>
      </c>
      <c r="AA16" s="48">
        <f t="shared" si="0"/>
        <v>1920</v>
      </c>
      <c r="AB16" s="50"/>
      <c r="AC16" s="50"/>
      <c r="AD16" s="50"/>
      <c r="AE16" s="50"/>
      <c r="AF16" s="50"/>
      <c r="AG16" s="50"/>
      <c r="AH16" s="50"/>
      <c r="AI16" s="50"/>
      <c r="AJ16" s="50"/>
      <c r="AK16" s="50"/>
      <c r="AL16" s="50"/>
      <c r="AM16" s="50"/>
      <c r="AN16" s="50"/>
      <c r="AO16" s="50"/>
      <c r="AP16" s="50"/>
      <c r="AQ16" s="50"/>
      <c r="AR16" s="50"/>
      <c r="AS16" s="50"/>
      <c r="AT16" s="16">
        <v>6.4</v>
      </c>
      <c r="AU16" s="16">
        <v>6.4</v>
      </c>
      <c r="AV16" s="16">
        <v>6.4</v>
      </c>
      <c r="AW16" s="50"/>
      <c r="AX16" s="47"/>
      <c r="AY16" s="24">
        <v>11</v>
      </c>
      <c r="AZ16" s="12"/>
      <c r="BA16" s="12"/>
      <c r="BB16" s="12"/>
    </row>
    <row r="17" spans="1:54" x14ac:dyDescent="0.45">
      <c r="A17" s="2"/>
      <c r="B17" s="2"/>
      <c r="C17" s="2"/>
      <c r="D17" s="2"/>
      <c r="E17" s="2"/>
      <c r="F17" s="2"/>
      <c r="G17" s="2"/>
      <c r="H17" s="2"/>
      <c r="I17" s="2"/>
      <c r="J17" s="2"/>
      <c r="K17" s="2"/>
      <c r="L17" s="2"/>
      <c r="M17" s="2"/>
      <c r="N17" s="2"/>
      <c r="O17" s="2"/>
      <c r="P17" s="2"/>
      <c r="Q17" s="2"/>
      <c r="U17" s="14" t="s">
        <v>51</v>
      </c>
      <c r="V17" s="14">
        <v>1</v>
      </c>
      <c r="W17" s="14">
        <v>21</v>
      </c>
      <c r="X17" s="14">
        <v>22</v>
      </c>
      <c r="Y17" s="14">
        <v>0</v>
      </c>
      <c r="Z17" s="14">
        <v>5</v>
      </c>
      <c r="AA17" s="48">
        <f t="shared" si="0"/>
        <v>1600</v>
      </c>
      <c r="AB17" s="50"/>
      <c r="AC17" s="50"/>
      <c r="AD17" s="50"/>
      <c r="AE17" s="50"/>
      <c r="AF17" s="50"/>
      <c r="AG17" s="50"/>
      <c r="AH17" s="50"/>
      <c r="AI17" s="50"/>
      <c r="AJ17" s="50"/>
      <c r="AK17" s="50"/>
      <c r="AL17" s="50"/>
      <c r="AM17" s="50"/>
      <c r="AN17" s="50"/>
      <c r="AO17" s="50"/>
      <c r="AP17" s="50"/>
      <c r="AQ17" s="50"/>
      <c r="AR17" s="50"/>
      <c r="AS17" s="50"/>
      <c r="AT17" s="50"/>
      <c r="AU17" s="50"/>
      <c r="AV17" s="50"/>
      <c r="AW17" s="16">
        <v>16</v>
      </c>
      <c r="AX17" s="47"/>
      <c r="AY17" s="24">
        <v>12</v>
      </c>
      <c r="AZ17" s="12"/>
      <c r="BA17" s="12"/>
      <c r="BB17" s="12"/>
    </row>
    <row r="18" spans="1:54" x14ac:dyDescent="0.45">
      <c r="A18" s="2"/>
      <c r="B18" s="2"/>
      <c r="C18" s="2"/>
      <c r="D18" s="2"/>
      <c r="E18" s="2"/>
      <c r="F18" s="2"/>
      <c r="G18" s="2"/>
      <c r="H18" s="2"/>
      <c r="I18" s="2"/>
      <c r="J18" s="2"/>
      <c r="K18" s="2"/>
      <c r="L18" s="2"/>
      <c r="M18" s="2"/>
      <c r="N18" s="2"/>
      <c r="O18" s="2"/>
      <c r="P18" s="2"/>
      <c r="Q18" s="2"/>
      <c r="U18" s="14" t="s">
        <v>52</v>
      </c>
      <c r="V18" s="14">
        <v>0</v>
      </c>
      <c r="W18" s="34" t="s">
        <v>69</v>
      </c>
      <c r="X18" s="34" t="s">
        <v>69</v>
      </c>
      <c r="Y18" s="34" t="s">
        <v>69</v>
      </c>
      <c r="Z18" s="34">
        <v>0</v>
      </c>
      <c r="AA18" s="49">
        <f t="shared" si="0"/>
        <v>0</v>
      </c>
      <c r="AB18" s="50"/>
      <c r="AC18" s="50"/>
      <c r="AD18" s="50"/>
      <c r="AE18" s="50"/>
      <c r="AF18" s="50"/>
      <c r="AG18" s="50"/>
      <c r="AH18" s="50"/>
      <c r="AI18" s="50"/>
      <c r="AJ18" s="50"/>
      <c r="AK18" s="50"/>
      <c r="AL18" s="50"/>
      <c r="AM18" s="50"/>
      <c r="AN18" s="50"/>
      <c r="AO18" s="50"/>
      <c r="AP18" s="50"/>
      <c r="AQ18" s="50"/>
      <c r="AR18" s="50"/>
      <c r="AS18" s="50"/>
      <c r="AT18" s="50"/>
      <c r="AU18" s="50"/>
      <c r="AV18" s="50"/>
      <c r="AW18" s="50"/>
      <c r="AX18" s="47"/>
      <c r="AY18" s="24">
        <v>13</v>
      </c>
      <c r="AZ18" s="12"/>
      <c r="BA18" s="12"/>
      <c r="BB18" s="12"/>
    </row>
    <row r="19" spans="1:54" ht="18.399999999999999" thickBot="1" x14ac:dyDescent="0.5">
      <c r="A19" s="2"/>
      <c r="B19" s="2"/>
      <c r="C19" s="2"/>
      <c r="D19" s="2"/>
      <c r="E19" s="2"/>
      <c r="F19" s="2"/>
      <c r="G19" s="2"/>
      <c r="H19" s="2"/>
      <c r="I19" s="2"/>
      <c r="J19" s="2"/>
      <c r="K19" s="2"/>
      <c r="L19" s="2"/>
      <c r="M19" s="2"/>
      <c r="N19" s="2"/>
      <c r="O19" s="2"/>
      <c r="P19" s="2"/>
      <c r="Q19" s="2"/>
      <c r="AB19" s="51"/>
      <c r="AC19" s="51"/>
      <c r="AD19" s="51"/>
      <c r="AE19" s="51"/>
      <c r="AF19" s="51"/>
      <c r="AG19" s="51"/>
      <c r="AH19" s="51"/>
      <c r="AI19" s="51"/>
      <c r="AJ19" s="51"/>
      <c r="AK19" s="51"/>
      <c r="AL19" s="51"/>
      <c r="AM19" s="51"/>
      <c r="AN19" s="51"/>
      <c r="AO19" s="51"/>
      <c r="AP19" s="51"/>
      <c r="AQ19" s="51"/>
      <c r="AR19" s="51"/>
      <c r="AS19" s="51"/>
      <c r="AT19" s="51"/>
      <c r="AU19" s="51"/>
      <c r="AV19" s="51"/>
      <c r="AW19" s="51"/>
      <c r="AX19" s="47"/>
      <c r="AY19" s="24">
        <v>14</v>
      </c>
      <c r="AZ19" s="12"/>
      <c r="BA19" s="12"/>
      <c r="BB19" s="12"/>
    </row>
    <row r="20" spans="1:54" ht="18.399999999999999" thickBot="1" x14ac:dyDescent="0.5">
      <c r="A20" s="2"/>
      <c r="B20" s="2"/>
      <c r="C20" s="2"/>
      <c r="D20" s="2"/>
      <c r="E20" s="2"/>
      <c r="F20" s="3">
        <f>D7</f>
        <v>2</v>
      </c>
      <c r="G20" s="4" t="s">
        <v>8</v>
      </c>
      <c r="H20" s="5">
        <f>F20+G22</f>
        <v>7</v>
      </c>
      <c r="I20" s="2"/>
      <c r="J20" s="3">
        <f>H20</f>
        <v>7</v>
      </c>
      <c r="K20" s="4" t="s">
        <v>10</v>
      </c>
      <c r="L20" s="5">
        <f>J20+K22</f>
        <v>11</v>
      </c>
      <c r="M20" s="2"/>
      <c r="N20" s="2"/>
      <c r="U20" s="41" t="s">
        <v>42</v>
      </c>
      <c r="V20" s="42"/>
      <c r="W20" s="42"/>
      <c r="X20" s="42"/>
      <c r="Y20" s="42"/>
      <c r="Z20" s="42"/>
      <c r="AA20" s="43"/>
      <c r="AB20" s="17">
        <f>SUM(AB4:AB19)*100</f>
        <v>1600</v>
      </c>
      <c r="AC20" s="17">
        <f t="shared" ref="AC20:AW20" si="3">SUM(AC4:AC19)*100</f>
        <v>1600</v>
      </c>
      <c r="AD20" s="17">
        <f t="shared" si="3"/>
        <v>1600</v>
      </c>
      <c r="AE20" s="17">
        <f t="shared" si="3"/>
        <v>1600</v>
      </c>
      <c r="AF20" s="17">
        <f t="shared" si="3"/>
        <v>640</v>
      </c>
      <c r="AG20" s="17">
        <f t="shared" si="3"/>
        <v>640</v>
      </c>
      <c r="AH20" s="17">
        <f t="shared" si="3"/>
        <v>1280</v>
      </c>
      <c r="AI20" s="17">
        <f t="shared" si="3"/>
        <v>1280</v>
      </c>
      <c r="AJ20" s="17">
        <f t="shared" si="3"/>
        <v>640</v>
      </c>
      <c r="AK20" s="17">
        <f t="shared" si="3"/>
        <v>1600</v>
      </c>
      <c r="AL20" s="17">
        <f t="shared" si="3"/>
        <v>1280</v>
      </c>
      <c r="AM20" s="17">
        <f t="shared" si="3"/>
        <v>1280</v>
      </c>
      <c r="AN20" s="17">
        <f t="shared" si="3"/>
        <v>1600</v>
      </c>
      <c r="AO20" s="17">
        <f t="shared" si="3"/>
        <v>1600</v>
      </c>
      <c r="AP20" s="17">
        <f t="shared" si="3"/>
        <v>960</v>
      </c>
      <c r="AQ20" s="17">
        <f t="shared" si="3"/>
        <v>0</v>
      </c>
      <c r="AR20" s="17">
        <f t="shared" si="3"/>
        <v>1600</v>
      </c>
      <c r="AS20" s="17">
        <f t="shared" si="3"/>
        <v>1600</v>
      </c>
      <c r="AT20" s="17">
        <f t="shared" si="3"/>
        <v>640</v>
      </c>
      <c r="AU20" s="17">
        <f t="shared" si="3"/>
        <v>640</v>
      </c>
      <c r="AV20" s="17">
        <f t="shared" si="3"/>
        <v>640</v>
      </c>
      <c r="AW20" s="17">
        <f t="shared" si="3"/>
        <v>1600</v>
      </c>
      <c r="AX20" s="47"/>
      <c r="AY20" s="24">
        <v>15</v>
      </c>
    </row>
    <row r="21" spans="1:54" ht="18.399999999999999" thickBot="1" x14ac:dyDescent="0.5">
      <c r="A21" s="2"/>
      <c r="B21" s="2"/>
      <c r="C21" s="2"/>
      <c r="D21" s="2"/>
      <c r="E21" s="2"/>
      <c r="F21" s="6">
        <f>F22-F20</f>
        <v>0</v>
      </c>
      <c r="G21" s="11"/>
      <c r="H21" s="7"/>
      <c r="I21" s="2"/>
      <c r="J21" s="6">
        <f>J22-J20</f>
        <v>0</v>
      </c>
      <c r="K21" s="11"/>
      <c r="L21" s="7"/>
      <c r="M21" s="2"/>
      <c r="N21" s="2"/>
      <c r="O21" s="3" t="s">
        <v>2</v>
      </c>
      <c r="P21" s="4" t="s">
        <v>0</v>
      </c>
      <c r="Q21" s="5" t="s">
        <v>12</v>
      </c>
      <c r="U21" s="44" t="s">
        <v>43</v>
      </c>
      <c r="V21" s="45"/>
      <c r="W21" s="45"/>
      <c r="X21" s="45"/>
      <c r="Y21" s="45"/>
      <c r="Z21" s="45"/>
      <c r="AA21" s="46"/>
      <c r="AB21" s="21">
        <f>AB20</f>
        <v>1600</v>
      </c>
      <c r="AC21" s="21">
        <f t="shared" ref="AC21:AW21" si="4">AB21+AC20</f>
        <v>3200</v>
      </c>
      <c r="AD21" s="21">
        <f t="shared" si="4"/>
        <v>4800</v>
      </c>
      <c r="AE21" s="21">
        <f t="shared" si="4"/>
        <v>6400</v>
      </c>
      <c r="AF21" s="21">
        <f t="shared" si="4"/>
        <v>7040</v>
      </c>
      <c r="AG21" s="21">
        <f t="shared" si="4"/>
        <v>7680</v>
      </c>
      <c r="AH21" s="21">
        <f t="shared" si="4"/>
        <v>8960</v>
      </c>
      <c r="AI21" s="21">
        <f t="shared" si="4"/>
        <v>10240</v>
      </c>
      <c r="AJ21" s="21">
        <f t="shared" si="4"/>
        <v>10880</v>
      </c>
      <c r="AK21" s="21">
        <f t="shared" si="4"/>
        <v>12480</v>
      </c>
      <c r="AL21" s="21">
        <f t="shared" si="4"/>
        <v>13760</v>
      </c>
      <c r="AM21" s="21">
        <f t="shared" si="4"/>
        <v>15040</v>
      </c>
      <c r="AN21" s="21">
        <f t="shared" si="4"/>
        <v>16640</v>
      </c>
      <c r="AO21" s="21">
        <f t="shared" si="4"/>
        <v>18240</v>
      </c>
      <c r="AP21" s="21">
        <f t="shared" si="4"/>
        <v>19200</v>
      </c>
      <c r="AQ21" s="21">
        <f t="shared" si="4"/>
        <v>19200</v>
      </c>
      <c r="AR21" s="21">
        <f t="shared" si="4"/>
        <v>20800</v>
      </c>
      <c r="AS21" s="21">
        <f t="shared" si="4"/>
        <v>22400</v>
      </c>
      <c r="AT21" s="21">
        <f t="shared" si="4"/>
        <v>23040</v>
      </c>
      <c r="AU21" s="21">
        <f t="shared" si="4"/>
        <v>23680</v>
      </c>
      <c r="AV21" s="21">
        <f t="shared" si="4"/>
        <v>24320</v>
      </c>
      <c r="AW21" s="21">
        <f t="shared" si="4"/>
        <v>25920</v>
      </c>
      <c r="AX21" s="47"/>
      <c r="AY21" s="24">
        <v>16</v>
      </c>
      <c r="AZ21" s="12"/>
      <c r="BA21" s="12"/>
      <c r="BB21" s="12"/>
    </row>
    <row r="22" spans="1:54" ht="18.399999999999999" thickBot="1" x14ac:dyDescent="0.5">
      <c r="A22" s="2"/>
      <c r="B22" s="2"/>
      <c r="C22" s="2"/>
      <c r="D22" s="2"/>
      <c r="E22" s="2"/>
      <c r="F22" s="8">
        <f>H22-G22</f>
        <v>2</v>
      </c>
      <c r="G22" s="9">
        <v>5</v>
      </c>
      <c r="H22" s="10">
        <f>J22</f>
        <v>7</v>
      </c>
      <c r="I22" s="2"/>
      <c r="J22" s="8">
        <f>L22-K22</f>
        <v>7</v>
      </c>
      <c r="K22" s="9">
        <v>4</v>
      </c>
      <c r="L22" s="10">
        <f>O9</f>
        <v>11</v>
      </c>
      <c r="M22" s="2"/>
      <c r="N22" s="2"/>
      <c r="O22" s="6" t="s">
        <v>4</v>
      </c>
      <c r="P22" s="11"/>
      <c r="Q22" s="7"/>
      <c r="AY22" s="24">
        <v>17</v>
      </c>
      <c r="AZ22" s="12"/>
      <c r="BA22" s="12"/>
      <c r="BB22" s="12"/>
    </row>
    <row r="23" spans="1:54" ht="18.399999999999999" thickBot="1" x14ac:dyDescent="0.5">
      <c r="A23" s="2"/>
      <c r="B23" s="2"/>
      <c r="C23" s="2"/>
      <c r="D23" s="2"/>
      <c r="E23" s="2"/>
      <c r="F23" s="2"/>
      <c r="G23" s="2"/>
      <c r="H23" s="2"/>
      <c r="I23" s="2"/>
      <c r="J23" s="2"/>
      <c r="K23" s="2"/>
      <c r="L23" s="2"/>
      <c r="M23" s="2"/>
      <c r="N23" s="2"/>
      <c r="O23" s="8" t="s">
        <v>13</v>
      </c>
      <c r="P23" s="9" t="s">
        <v>1</v>
      </c>
      <c r="Q23" s="10" t="s">
        <v>3</v>
      </c>
      <c r="U23" s="54" t="s">
        <v>20</v>
      </c>
      <c r="V23" s="54"/>
      <c r="W23" s="54"/>
      <c r="X23" s="54"/>
      <c r="Y23" s="54"/>
      <c r="Z23" s="54"/>
      <c r="AA23" s="54"/>
      <c r="AB23" s="54"/>
      <c r="AD23" s="54" t="s">
        <v>26</v>
      </c>
      <c r="AE23" s="54"/>
      <c r="AF23" s="54"/>
      <c r="AG23" s="54"/>
      <c r="AH23" s="54"/>
      <c r="AI23" s="54"/>
      <c r="AJ23" s="54"/>
      <c r="AY23" s="24">
        <v>18</v>
      </c>
      <c r="AZ23" s="12"/>
      <c r="BA23" s="12"/>
      <c r="BB23" s="12"/>
    </row>
    <row r="24" spans="1:54" x14ac:dyDescent="0.45">
      <c r="U24" s="25" t="s">
        <v>21</v>
      </c>
      <c r="V24" s="25" t="s">
        <v>23</v>
      </c>
      <c r="W24" s="25" t="s">
        <v>32</v>
      </c>
      <c r="X24" s="25" t="s">
        <v>15</v>
      </c>
      <c r="Y24" s="25" t="s">
        <v>33</v>
      </c>
      <c r="Z24" s="25"/>
      <c r="AA24" s="25" t="s">
        <v>34</v>
      </c>
      <c r="AB24" s="25" t="s">
        <v>35</v>
      </c>
      <c r="AD24" s="25" t="s">
        <v>21</v>
      </c>
      <c r="AE24" s="25" t="s">
        <v>23</v>
      </c>
      <c r="AF24" s="25" t="s">
        <v>14</v>
      </c>
      <c r="AG24" s="25" t="s">
        <v>15</v>
      </c>
      <c r="AH24" s="25" t="s">
        <v>16</v>
      </c>
      <c r="AI24" s="25" t="s">
        <v>17</v>
      </c>
      <c r="AJ24" s="25" t="s">
        <v>18</v>
      </c>
      <c r="AY24" s="24">
        <v>19</v>
      </c>
      <c r="AZ24" s="12"/>
      <c r="BA24" s="12"/>
      <c r="BB24" s="12"/>
    </row>
    <row r="25" spans="1:54" x14ac:dyDescent="0.45">
      <c r="U25" s="25" t="s">
        <v>5</v>
      </c>
      <c r="V25" s="18">
        <v>0.9</v>
      </c>
      <c r="W25" s="14">
        <f>V25*AA4</f>
        <v>1440</v>
      </c>
      <c r="X25" s="14">
        <v>1500</v>
      </c>
      <c r="Y25" s="14">
        <f>AB20</f>
        <v>1600</v>
      </c>
      <c r="Z25" s="14"/>
      <c r="AA25" s="14">
        <f>W25-X25</f>
        <v>-60</v>
      </c>
      <c r="AB25" s="12">
        <f>W25-Y25</f>
        <v>-160</v>
      </c>
      <c r="AD25" s="27" t="s">
        <v>5</v>
      </c>
      <c r="AE25" s="18">
        <v>1</v>
      </c>
      <c r="AF25" s="14">
        <v>1600</v>
      </c>
      <c r="AG25" s="14">
        <v>1650</v>
      </c>
      <c r="AH25" s="14">
        <v>1600</v>
      </c>
      <c r="AI25" s="14">
        <f>AF25-AG25</f>
        <v>-50</v>
      </c>
      <c r="AJ25" s="12">
        <f t="shared" ref="AJ25:AJ26" si="5">AF25-AH25</f>
        <v>0</v>
      </c>
      <c r="AY25" s="24">
        <v>20</v>
      </c>
      <c r="AZ25" s="12"/>
      <c r="BA25" s="12"/>
      <c r="BB25" s="12"/>
    </row>
    <row r="26" spans="1:54" x14ac:dyDescent="0.45">
      <c r="U26" s="55" t="s">
        <v>22</v>
      </c>
      <c r="V26" s="56"/>
      <c r="W26" s="26">
        <f>SUM(W25)</f>
        <v>1440</v>
      </c>
      <c r="X26" s="28">
        <f t="shared" ref="X26:Y26" si="6">SUM(X25)</f>
        <v>1500</v>
      </c>
      <c r="Y26" s="29">
        <f t="shared" si="6"/>
        <v>1600</v>
      </c>
      <c r="Z26" s="29"/>
      <c r="AA26" s="25">
        <f>SUM(AA25)</f>
        <v>-60</v>
      </c>
      <c r="AB26" s="25">
        <f>SUM(AB25)</f>
        <v>-160</v>
      </c>
      <c r="AD26" s="27" t="s">
        <v>6</v>
      </c>
      <c r="AE26" s="18">
        <v>1</v>
      </c>
      <c r="AF26" s="14">
        <f>AE26*AA5</f>
        <v>4800</v>
      </c>
      <c r="AG26" s="14">
        <v>4550</v>
      </c>
      <c r="AH26" s="14">
        <v>4800</v>
      </c>
      <c r="AI26" s="14">
        <f t="shared" ref="AI26" si="7">AF26-AG26</f>
        <v>250</v>
      </c>
      <c r="AJ26" s="12">
        <f t="shared" si="5"/>
        <v>0</v>
      </c>
      <c r="AY26" s="24">
        <v>21</v>
      </c>
      <c r="AZ26" s="12"/>
      <c r="BA26" s="12"/>
      <c r="BB26" s="12"/>
    </row>
    <row r="27" spans="1:54" x14ac:dyDescent="0.45">
      <c r="AD27" s="27" t="s">
        <v>7</v>
      </c>
      <c r="AE27" s="19"/>
      <c r="AF27" s="14"/>
      <c r="AG27" s="14"/>
      <c r="AH27" s="14"/>
      <c r="AI27" s="14"/>
      <c r="AJ27" s="12"/>
      <c r="AY27" s="24">
        <v>22</v>
      </c>
      <c r="AZ27" s="12"/>
      <c r="BA27" s="12"/>
      <c r="BB27" s="12"/>
    </row>
    <row r="28" spans="1:54" x14ac:dyDescent="0.45">
      <c r="U28" s="54" t="s">
        <v>24</v>
      </c>
      <c r="V28" s="54"/>
      <c r="W28" s="54"/>
      <c r="X28" s="54"/>
      <c r="Y28" s="54"/>
      <c r="Z28" s="54"/>
      <c r="AA28" s="54"/>
      <c r="AB28" s="54"/>
      <c r="AD28" s="27" t="s">
        <v>8</v>
      </c>
      <c r="AE28" s="19"/>
      <c r="AF28" s="14"/>
      <c r="AG28" s="14"/>
      <c r="AH28" s="14"/>
      <c r="AI28" s="14"/>
      <c r="AJ28" s="12"/>
    </row>
    <row r="29" spans="1:54" x14ac:dyDescent="0.45">
      <c r="U29" s="25" t="s">
        <v>21</v>
      </c>
      <c r="V29" s="25" t="s">
        <v>23</v>
      </c>
      <c r="W29" s="25" t="s">
        <v>14</v>
      </c>
      <c r="X29" s="25" t="s">
        <v>15</v>
      </c>
      <c r="Y29" s="25" t="s">
        <v>16</v>
      </c>
      <c r="Z29" s="25"/>
      <c r="AA29" s="25" t="s">
        <v>17</v>
      </c>
      <c r="AB29" s="25" t="s">
        <v>18</v>
      </c>
      <c r="AD29" s="55" t="s">
        <v>22</v>
      </c>
      <c r="AE29" s="56"/>
      <c r="AF29" s="26">
        <f>SUM(AF25:AF28)</f>
        <v>6400</v>
      </c>
      <c r="AG29" s="28">
        <f t="shared" ref="AG29:AH29" si="8">SUM(AG25:AG28)</f>
        <v>6200</v>
      </c>
      <c r="AH29" s="29">
        <f t="shared" si="8"/>
        <v>6400</v>
      </c>
      <c r="AI29" s="14">
        <f t="shared" ref="AI29" si="9">AF29-AG29</f>
        <v>200</v>
      </c>
      <c r="AJ29" s="12">
        <f t="shared" ref="AJ29" si="10">AF29-AH29</f>
        <v>0</v>
      </c>
    </row>
    <row r="30" spans="1:54" x14ac:dyDescent="0.45">
      <c r="U30" s="25" t="s">
        <v>5</v>
      </c>
      <c r="V30" s="18">
        <v>1</v>
      </c>
      <c r="W30" s="14">
        <f>V30*AA4</f>
        <v>1600</v>
      </c>
      <c r="X30" s="14">
        <v>1650</v>
      </c>
      <c r="Y30" s="14">
        <v>1600</v>
      </c>
      <c r="Z30" s="14"/>
      <c r="AA30" s="14">
        <f>W30-X30</f>
        <v>-50</v>
      </c>
      <c r="AB30" s="12">
        <f>W30-Y30</f>
        <v>0</v>
      </c>
      <c r="AD30" s="13"/>
      <c r="AE30" s="13"/>
      <c r="AF30" s="13"/>
      <c r="AG30" s="13"/>
      <c r="AH30" s="13"/>
      <c r="AI30" s="13"/>
    </row>
    <row r="31" spans="1:54" x14ac:dyDescent="0.45">
      <c r="U31" s="25" t="s">
        <v>6</v>
      </c>
      <c r="V31" s="18">
        <v>0.2</v>
      </c>
      <c r="W31" s="14">
        <f>V31*AA5</f>
        <v>960</v>
      </c>
      <c r="X31" s="14">
        <v>900</v>
      </c>
      <c r="Y31" s="14">
        <v>1600</v>
      </c>
      <c r="Z31" s="14"/>
      <c r="AA31" s="14">
        <f>W31-X31</f>
        <v>60</v>
      </c>
      <c r="AB31" s="12">
        <f>W31-Y31</f>
        <v>-640</v>
      </c>
      <c r="AD31" s="54" t="s">
        <v>27</v>
      </c>
      <c r="AE31" s="54"/>
      <c r="AF31" s="54"/>
      <c r="AG31" s="54"/>
      <c r="AH31" s="54"/>
      <c r="AI31" s="54"/>
      <c r="AJ31" s="54"/>
      <c r="AZ31" t="s">
        <v>41</v>
      </c>
      <c r="BA31" t="s">
        <v>36</v>
      </c>
    </row>
    <row r="32" spans="1:54" x14ac:dyDescent="0.45">
      <c r="A32" s="1"/>
      <c r="B32" s="1"/>
      <c r="C32" s="2"/>
      <c r="D32" s="2"/>
      <c r="E32" s="2"/>
      <c r="F32" s="2"/>
      <c r="G32" s="2"/>
      <c r="H32" s="2"/>
      <c r="I32" s="2"/>
      <c r="J32" s="2"/>
      <c r="K32" s="2"/>
      <c r="L32" s="2"/>
      <c r="M32" s="2"/>
      <c r="N32" s="2"/>
      <c r="O32" s="2"/>
      <c r="P32" s="2"/>
      <c r="Q32" s="2"/>
      <c r="U32" s="55" t="s">
        <v>22</v>
      </c>
      <c r="V32" s="56"/>
      <c r="W32" s="25">
        <f>SUM(W30:W31)</f>
        <v>2560</v>
      </c>
      <c r="X32" s="25">
        <f>SUM(X30:X31)</f>
        <v>2550</v>
      </c>
      <c r="Y32" s="25">
        <f>SUM(Y30:Y31)</f>
        <v>3200</v>
      </c>
      <c r="Z32" s="29"/>
      <c r="AA32" s="25">
        <f>SUM(AA30:AA31)</f>
        <v>10</v>
      </c>
      <c r="AB32" s="25">
        <f>SUM(AB30:AB31)</f>
        <v>-640</v>
      </c>
      <c r="AD32" s="25" t="s">
        <v>21</v>
      </c>
      <c r="AE32" s="25" t="s">
        <v>23</v>
      </c>
      <c r="AF32" s="25" t="s">
        <v>14</v>
      </c>
      <c r="AG32" s="25" t="s">
        <v>15</v>
      </c>
      <c r="AH32" s="25" t="s">
        <v>16</v>
      </c>
      <c r="AI32" s="25" t="s">
        <v>17</v>
      </c>
      <c r="AJ32" s="25" t="s">
        <v>18</v>
      </c>
      <c r="AY32" s="24" t="s">
        <v>29</v>
      </c>
      <c r="AZ32" s="31" t="s">
        <v>30</v>
      </c>
      <c r="BA32" s="30" t="s">
        <v>31</v>
      </c>
      <c r="BB32" t="s">
        <v>87</v>
      </c>
    </row>
    <row r="33" spans="1:54" x14ac:dyDescent="0.45">
      <c r="A33" s="2"/>
      <c r="B33" s="2"/>
      <c r="C33" s="2"/>
      <c r="D33" s="2"/>
      <c r="E33" s="2"/>
      <c r="F33" s="2"/>
      <c r="G33" s="2"/>
      <c r="H33" s="2"/>
      <c r="I33" s="2"/>
      <c r="J33" s="2"/>
      <c r="K33" s="2"/>
      <c r="L33" s="2"/>
      <c r="M33" s="2"/>
      <c r="N33" s="2"/>
      <c r="O33" s="2"/>
      <c r="P33" s="2"/>
      <c r="Q33" s="2"/>
      <c r="U33" s="54" t="s">
        <v>25</v>
      </c>
      <c r="V33" s="54"/>
      <c r="W33" s="54"/>
      <c r="X33" s="54"/>
      <c r="Y33" s="54"/>
      <c r="Z33" s="54"/>
      <c r="AA33" s="54"/>
      <c r="AB33" s="54"/>
      <c r="AD33" s="27" t="s">
        <v>5</v>
      </c>
      <c r="AE33" s="18">
        <v>1</v>
      </c>
      <c r="AF33" s="14">
        <v>1600</v>
      </c>
      <c r="AG33" s="14">
        <v>1650</v>
      </c>
      <c r="AH33" s="14">
        <v>1600</v>
      </c>
      <c r="AI33" s="14">
        <f>AF33-AG33</f>
        <v>-50</v>
      </c>
      <c r="AJ33" s="12">
        <f t="shared" ref="AJ33:AJ35" si="11">AF33-AH33</f>
        <v>0</v>
      </c>
      <c r="AY33" s="24">
        <v>1</v>
      </c>
      <c r="AZ33" s="22">
        <f>W26/X26</f>
        <v>0.96</v>
      </c>
      <c r="BA33" s="22">
        <f>W26/Y26</f>
        <v>0.9</v>
      </c>
      <c r="BB33">
        <v>1</v>
      </c>
    </row>
    <row r="34" spans="1:54" x14ac:dyDescent="0.45">
      <c r="A34" s="2"/>
      <c r="B34" s="2"/>
      <c r="C34" s="2"/>
      <c r="D34" s="2"/>
      <c r="E34" s="2"/>
      <c r="F34" s="2"/>
      <c r="G34" s="2"/>
      <c r="H34" s="2"/>
      <c r="I34" s="2"/>
      <c r="J34" s="2"/>
      <c r="K34" s="2"/>
      <c r="L34" s="2"/>
      <c r="M34" s="2"/>
      <c r="N34" s="2"/>
      <c r="O34" s="2"/>
      <c r="P34" s="2"/>
      <c r="Q34" s="2"/>
      <c r="U34" s="25" t="s">
        <v>21</v>
      </c>
      <c r="V34" s="25" t="s">
        <v>23</v>
      </c>
      <c r="W34" s="25" t="s">
        <v>14</v>
      </c>
      <c r="X34" s="25" t="s">
        <v>15</v>
      </c>
      <c r="Y34" s="25" t="s">
        <v>16</v>
      </c>
      <c r="Z34" s="25"/>
      <c r="AA34" s="25" t="s">
        <v>17</v>
      </c>
      <c r="AB34" s="25" t="s">
        <v>18</v>
      </c>
      <c r="AD34" s="27" t="s">
        <v>6</v>
      </c>
      <c r="AE34" s="18">
        <v>1</v>
      </c>
      <c r="AF34" s="14">
        <v>4800</v>
      </c>
      <c r="AG34" s="14">
        <v>4550</v>
      </c>
      <c r="AH34" s="14">
        <v>4800</v>
      </c>
      <c r="AI34" s="14">
        <f t="shared" ref="AI34:AI35" si="12">AF34-AG34</f>
        <v>250</v>
      </c>
      <c r="AJ34" s="12">
        <f t="shared" si="11"/>
        <v>0</v>
      </c>
      <c r="AY34" s="24">
        <v>2</v>
      </c>
      <c r="AZ34" s="22">
        <f>W32/X32</f>
        <v>1.003921568627451</v>
      </c>
      <c r="BA34" s="22">
        <f>W32/Y32</f>
        <v>0.8</v>
      </c>
      <c r="BB34">
        <v>1</v>
      </c>
    </row>
    <row r="35" spans="1:54" x14ac:dyDescent="0.45">
      <c r="A35" s="2"/>
      <c r="B35" s="2"/>
      <c r="C35" s="2"/>
      <c r="D35" s="2"/>
      <c r="E35" s="2"/>
      <c r="F35" s="2"/>
      <c r="G35" s="2"/>
      <c r="H35" s="2"/>
      <c r="I35" s="2"/>
      <c r="J35" s="2"/>
      <c r="K35" s="2"/>
      <c r="L35" s="2"/>
      <c r="M35" s="2"/>
      <c r="N35" s="2"/>
      <c r="O35" s="2"/>
      <c r="P35" s="2"/>
      <c r="Q35" s="2"/>
      <c r="U35" s="27" t="s">
        <v>5</v>
      </c>
      <c r="V35" s="18">
        <v>1</v>
      </c>
      <c r="W35" s="14">
        <v>1600</v>
      </c>
      <c r="X35" s="14">
        <v>1650</v>
      </c>
      <c r="Y35" s="14">
        <v>1600</v>
      </c>
      <c r="Z35" s="14"/>
      <c r="AA35" s="14">
        <f>W35-X35</f>
        <v>-50</v>
      </c>
      <c r="AB35" s="12">
        <f t="shared" ref="AB35:AB36" si="13">W35-Y35</f>
        <v>0</v>
      </c>
      <c r="AD35" s="27" t="s">
        <v>7</v>
      </c>
      <c r="AE35" s="19">
        <v>0.35</v>
      </c>
      <c r="AF35" s="14">
        <v>448</v>
      </c>
      <c r="AG35" s="14">
        <v>500</v>
      </c>
      <c r="AH35" s="14">
        <v>640</v>
      </c>
      <c r="AI35" s="14">
        <f t="shared" si="12"/>
        <v>-52</v>
      </c>
      <c r="AJ35" s="12">
        <f t="shared" si="11"/>
        <v>-192</v>
      </c>
      <c r="AY35" s="24">
        <v>3</v>
      </c>
      <c r="AZ35" s="22">
        <f>W39/X39</f>
        <v>1.0216867469879518</v>
      </c>
      <c r="BA35" s="22">
        <f>W39/Y39</f>
        <v>0.8833333333333333</v>
      </c>
      <c r="BB35">
        <v>1</v>
      </c>
    </row>
    <row r="36" spans="1:54" x14ac:dyDescent="0.45">
      <c r="A36" s="2"/>
      <c r="B36" s="2"/>
      <c r="C36" s="2"/>
      <c r="D36" s="2"/>
      <c r="E36" s="2"/>
      <c r="F36" s="2"/>
      <c r="G36" s="2"/>
      <c r="H36" s="2"/>
      <c r="I36" s="2"/>
      <c r="J36" s="2"/>
      <c r="K36" s="2"/>
      <c r="L36" s="2"/>
      <c r="M36" s="2"/>
      <c r="N36" s="2"/>
      <c r="U36" s="27" t="s">
        <v>6</v>
      </c>
      <c r="V36" s="18">
        <v>0.55000000000000004</v>
      </c>
      <c r="W36" s="14">
        <f>V36*AA5</f>
        <v>2640</v>
      </c>
      <c r="X36" s="14">
        <v>2500</v>
      </c>
      <c r="Y36" s="14">
        <v>3200</v>
      </c>
      <c r="Z36" s="14"/>
      <c r="AA36" s="14">
        <f>W36-X36</f>
        <v>140</v>
      </c>
      <c r="AB36" s="12">
        <f t="shared" si="13"/>
        <v>-560</v>
      </c>
      <c r="AD36" s="27" t="s">
        <v>8</v>
      </c>
      <c r="AE36" s="19"/>
      <c r="AF36" s="14"/>
      <c r="AG36" s="14"/>
      <c r="AH36" s="14"/>
      <c r="AI36" s="14"/>
      <c r="AJ36" s="12"/>
      <c r="AY36" s="24">
        <v>4</v>
      </c>
      <c r="AZ36" s="22">
        <f>AF29/AG29</f>
        <v>1.032258064516129</v>
      </c>
      <c r="BA36" s="22">
        <f>AF29/AH29</f>
        <v>1</v>
      </c>
      <c r="BB36">
        <v>1</v>
      </c>
    </row>
    <row r="37" spans="1:54" x14ac:dyDescent="0.45">
      <c r="A37" s="2"/>
      <c r="B37" s="2"/>
      <c r="C37" s="2"/>
      <c r="D37" s="2"/>
      <c r="E37" s="2"/>
      <c r="F37" s="2"/>
      <c r="G37" s="2"/>
      <c r="H37" s="2"/>
      <c r="I37" s="2"/>
      <c r="M37" s="2"/>
      <c r="N37" s="2"/>
      <c r="O37" s="2"/>
      <c r="P37" s="2"/>
      <c r="Q37" s="2"/>
      <c r="U37" s="27"/>
      <c r="V37" s="19"/>
      <c r="W37" s="14"/>
      <c r="X37" s="14"/>
      <c r="Y37" s="14"/>
      <c r="Z37" s="14"/>
      <c r="AA37" s="14"/>
      <c r="AB37" s="12"/>
      <c r="AD37" s="25" t="s">
        <v>9</v>
      </c>
      <c r="AE37" s="20"/>
      <c r="AF37" s="14"/>
      <c r="AG37" s="14"/>
      <c r="AH37" s="14"/>
      <c r="AI37" s="14"/>
      <c r="AJ37" s="12"/>
      <c r="AY37" s="24">
        <v>5</v>
      </c>
      <c r="AZ37" s="22">
        <f>AF38/AG38</f>
        <v>1.022089552238806</v>
      </c>
      <c r="BA37" s="22">
        <f>AF38/AH38</f>
        <v>0.97272727272727277</v>
      </c>
      <c r="BB37">
        <v>1</v>
      </c>
    </row>
    <row r="38" spans="1:54" x14ac:dyDescent="0.45">
      <c r="A38" s="2"/>
      <c r="B38" s="2"/>
      <c r="C38" s="2"/>
      <c r="D38" s="2"/>
      <c r="E38" s="2"/>
      <c r="F38" s="2"/>
      <c r="G38" s="2"/>
      <c r="H38" s="2"/>
      <c r="I38" s="2"/>
      <c r="M38" s="2"/>
      <c r="N38" s="2"/>
      <c r="O38" s="2"/>
      <c r="P38" s="2"/>
      <c r="Q38" s="2"/>
      <c r="U38" s="27"/>
      <c r="V38" s="19"/>
      <c r="W38" s="14"/>
      <c r="X38" s="14"/>
      <c r="Y38" s="14"/>
      <c r="Z38" s="14"/>
      <c r="AA38" s="14"/>
      <c r="AB38" s="12"/>
      <c r="AD38" s="55" t="s">
        <v>22</v>
      </c>
      <c r="AE38" s="56"/>
      <c r="AF38" s="26">
        <f>SUM(AF33:AF37)</f>
        <v>6848</v>
      </c>
      <c r="AG38" s="28">
        <f t="shared" ref="AG38:AH38" si="14">SUM(AG33:AG37)</f>
        <v>6700</v>
      </c>
      <c r="AH38" s="29">
        <f t="shared" si="14"/>
        <v>7040</v>
      </c>
      <c r="AI38" s="14">
        <f t="shared" ref="AI38" si="15">AF38-AG38</f>
        <v>148</v>
      </c>
      <c r="AJ38" s="12">
        <f t="shared" ref="AJ38" si="16">AF38-AH38</f>
        <v>-192</v>
      </c>
      <c r="AY38" s="24">
        <v>6</v>
      </c>
      <c r="AZ38" s="22">
        <f>AF47/AG47</f>
        <v>1.0378378378378379</v>
      </c>
      <c r="BA38" s="22">
        <f>AF47/AH47</f>
        <v>1</v>
      </c>
      <c r="BB38">
        <v>1</v>
      </c>
    </row>
    <row r="39" spans="1:54" x14ac:dyDescent="0.45">
      <c r="A39" s="2"/>
      <c r="B39" s="2"/>
      <c r="C39" s="2"/>
      <c r="D39" s="2"/>
      <c r="E39" s="2"/>
      <c r="F39" s="2"/>
      <c r="G39" s="2"/>
      <c r="H39" s="2"/>
      <c r="I39" s="2"/>
      <c r="M39" s="2"/>
      <c r="N39" s="2"/>
      <c r="O39" s="2"/>
      <c r="P39" s="2"/>
      <c r="Q39" s="2"/>
      <c r="U39" s="55" t="s">
        <v>22</v>
      </c>
      <c r="V39" s="56"/>
      <c r="W39" s="26">
        <f>SUM(W35:W38)</f>
        <v>4240</v>
      </c>
      <c r="X39" s="28">
        <f>SUM(X35:X38)</f>
        <v>4150</v>
      </c>
      <c r="Y39" s="29">
        <f>SUM(Y35:Y38)</f>
        <v>4800</v>
      </c>
      <c r="Z39" s="29"/>
      <c r="AA39" s="14">
        <f t="shared" ref="AA39" si="17">W39-X39</f>
        <v>90</v>
      </c>
      <c r="AB39" s="12">
        <f t="shared" ref="AB39" si="18">W39-Y39</f>
        <v>-560</v>
      </c>
      <c r="AD39" s="13"/>
      <c r="AE39" s="13"/>
      <c r="AF39" s="13"/>
      <c r="AG39" s="13"/>
      <c r="AH39" s="13"/>
      <c r="AI39" s="13"/>
    </row>
    <row r="40" spans="1:54" x14ac:dyDescent="0.45">
      <c r="A40" s="2"/>
      <c r="B40" s="2"/>
      <c r="C40" s="2"/>
      <c r="D40" s="2"/>
      <c r="E40" s="2"/>
      <c r="F40" s="2"/>
      <c r="G40" s="2"/>
      <c r="H40" s="2"/>
      <c r="I40" s="2"/>
      <c r="J40" s="2"/>
      <c r="K40" s="2"/>
      <c r="L40" s="2"/>
      <c r="M40" s="2"/>
      <c r="N40" s="2"/>
      <c r="O40" s="2"/>
      <c r="P40" s="2"/>
      <c r="Q40" s="2"/>
      <c r="AD40" s="54" t="s">
        <v>28</v>
      </c>
      <c r="AE40" s="54"/>
      <c r="AF40" s="54"/>
      <c r="AG40" s="54"/>
      <c r="AH40" s="54"/>
      <c r="AI40" s="54"/>
      <c r="AJ40" s="54"/>
    </row>
    <row r="41" spans="1:54" x14ac:dyDescent="0.45">
      <c r="A41" s="2"/>
      <c r="B41" s="2"/>
      <c r="C41" s="2"/>
      <c r="D41" s="2"/>
      <c r="E41" s="2"/>
      <c r="F41" s="2"/>
      <c r="G41" s="2"/>
      <c r="H41" s="2"/>
      <c r="I41" s="2"/>
      <c r="J41" s="2"/>
      <c r="K41" s="2"/>
      <c r="L41" s="2"/>
      <c r="M41" s="2"/>
      <c r="N41" s="2"/>
      <c r="AD41" s="25" t="s">
        <v>21</v>
      </c>
      <c r="AE41" s="25" t="s">
        <v>23</v>
      </c>
      <c r="AF41" s="25" t="s">
        <v>14</v>
      </c>
      <c r="AG41" s="25" t="s">
        <v>15</v>
      </c>
      <c r="AH41" s="25" t="s">
        <v>16</v>
      </c>
      <c r="AI41" s="25" t="s">
        <v>17</v>
      </c>
      <c r="AJ41" s="25" t="s">
        <v>18</v>
      </c>
    </row>
    <row r="42" spans="1:54" x14ac:dyDescent="0.45">
      <c r="A42" s="2"/>
      <c r="B42" s="2"/>
      <c r="C42" s="2"/>
      <c r="D42" s="2"/>
      <c r="E42" s="2"/>
      <c r="F42" s="2"/>
      <c r="G42" s="2"/>
      <c r="H42" s="2"/>
      <c r="I42" s="2"/>
      <c r="J42" s="2"/>
      <c r="K42" s="2"/>
      <c r="L42" s="2"/>
      <c r="M42" s="2"/>
      <c r="N42" s="2"/>
      <c r="AD42" s="27" t="s">
        <v>5</v>
      </c>
      <c r="AE42" s="18">
        <v>1</v>
      </c>
      <c r="AF42" s="14">
        <v>1600</v>
      </c>
      <c r="AG42" s="14">
        <v>1650</v>
      </c>
      <c r="AH42" s="14">
        <v>1600</v>
      </c>
      <c r="AI42" s="14">
        <f>AF42-AG42</f>
        <v>-50</v>
      </c>
      <c r="AJ42" s="12">
        <f t="shared" ref="AJ42:AJ44" si="19">AF42-AH42</f>
        <v>0</v>
      </c>
    </row>
    <row r="43" spans="1:54" x14ac:dyDescent="0.45">
      <c r="A43" s="2"/>
      <c r="B43" s="2"/>
      <c r="C43" s="2"/>
      <c r="D43" s="2"/>
      <c r="E43" s="2"/>
      <c r="F43" s="2"/>
      <c r="G43" s="2"/>
      <c r="H43" s="2"/>
      <c r="I43" s="2"/>
      <c r="J43" s="2"/>
      <c r="K43" s="2"/>
      <c r="L43" s="2"/>
      <c r="M43" s="2"/>
      <c r="N43" s="2"/>
      <c r="AD43" s="27" t="s">
        <v>6</v>
      </c>
      <c r="AE43" s="18">
        <v>1</v>
      </c>
      <c r="AF43" s="14">
        <v>4800</v>
      </c>
      <c r="AG43" s="14">
        <v>4550</v>
      </c>
      <c r="AH43" s="14">
        <v>4800</v>
      </c>
      <c r="AI43" s="14">
        <f t="shared" ref="AI43" si="20">AF43-AG43</f>
        <v>250</v>
      </c>
      <c r="AJ43" s="12">
        <f t="shared" si="19"/>
        <v>0</v>
      </c>
    </row>
    <row r="44" spans="1:54" x14ac:dyDescent="0.55000000000000004">
      <c r="A44" s="2"/>
      <c r="B44" s="2"/>
      <c r="C44" s="2"/>
      <c r="D44" s="2"/>
      <c r="E44" s="2"/>
      <c r="F44" s="2"/>
      <c r="G44" s="2"/>
      <c r="H44" s="2"/>
      <c r="I44" s="2"/>
      <c r="J44" s="2"/>
      <c r="K44" s="2"/>
      <c r="L44" s="2"/>
      <c r="M44" s="2"/>
      <c r="N44" s="2"/>
      <c r="O44" s="2"/>
      <c r="P44" s="2"/>
      <c r="Q44" s="2"/>
      <c r="U44" s="23" t="s">
        <v>44</v>
      </c>
      <c r="AD44" s="27" t="s">
        <v>7</v>
      </c>
      <c r="AE44" s="19">
        <v>1</v>
      </c>
      <c r="AF44" s="14">
        <v>1280</v>
      </c>
      <c r="AG44" s="14">
        <v>1200</v>
      </c>
      <c r="AH44" s="14">
        <v>1280</v>
      </c>
      <c r="AI44" s="14">
        <v>80</v>
      </c>
      <c r="AJ44" s="12">
        <f t="shared" si="19"/>
        <v>0</v>
      </c>
    </row>
    <row r="45" spans="1:54" x14ac:dyDescent="0.45">
      <c r="O45" s="2"/>
      <c r="P45" s="2"/>
      <c r="Q45" s="2"/>
      <c r="AD45" s="27" t="s">
        <v>8</v>
      </c>
      <c r="AE45" s="19"/>
      <c r="AF45" s="14"/>
      <c r="AG45" s="14"/>
      <c r="AH45" s="14"/>
      <c r="AI45" s="14"/>
      <c r="AJ45" s="12"/>
    </row>
    <row r="46" spans="1:54" x14ac:dyDescent="0.45">
      <c r="O46" s="2"/>
      <c r="P46" s="2"/>
      <c r="Q46" s="2"/>
      <c r="AD46" s="25" t="s">
        <v>9</v>
      </c>
      <c r="AE46" s="20"/>
      <c r="AF46" s="14"/>
      <c r="AG46" s="14"/>
      <c r="AH46" s="14"/>
      <c r="AI46" s="14"/>
      <c r="AJ46" s="12"/>
    </row>
    <row r="47" spans="1:54" x14ac:dyDescent="0.45">
      <c r="O47" s="2"/>
      <c r="P47" s="2"/>
      <c r="Q47" s="2"/>
      <c r="AD47" s="55" t="s">
        <v>22</v>
      </c>
      <c r="AE47" s="56"/>
      <c r="AF47" s="26">
        <f>SUM(AF42:AF46)</f>
        <v>7680</v>
      </c>
      <c r="AG47" s="28">
        <f t="shared" ref="AG47:AH47" si="21">SUM(AG42:AG46)</f>
        <v>7400</v>
      </c>
      <c r="AH47" s="29">
        <f t="shared" si="21"/>
        <v>7680</v>
      </c>
      <c r="AI47" s="14">
        <f t="shared" ref="AI47" si="22">AF47-AG47</f>
        <v>280</v>
      </c>
      <c r="AJ47" s="12">
        <f t="shared" ref="AJ47" si="23">AF47-AH47</f>
        <v>0</v>
      </c>
    </row>
  </sheetData>
  <mergeCells count="13">
    <mergeCell ref="AB2:AN2"/>
    <mergeCell ref="U23:AB23"/>
    <mergeCell ref="AD23:AJ23"/>
    <mergeCell ref="AD38:AE38"/>
    <mergeCell ref="U39:V39"/>
    <mergeCell ref="AD40:AJ40"/>
    <mergeCell ref="AD47:AE47"/>
    <mergeCell ref="U26:V26"/>
    <mergeCell ref="U28:AB28"/>
    <mergeCell ref="AD29:AE29"/>
    <mergeCell ref="U32:V32"/>
    <mergeCell ref="AD31:AJ31"/>
    <mergeCell ref="U33:AB33"/>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E92F3-8AA6-40C4-B090-79BAC8D04E6F}">
  <dimension ref="A1:K27"/>
  <sheetViews>
    <sheetView topLeftCell="A16" workbookViewId="0">
      <selection activeCell="F27" sqref="F27"/>
    </sheetView>
  </sheetViews>
  <sheetFormatPr defaultRowHeight="14.25" x14ac:dyDescent="0.45"/>
  <sheetData>
    <row r="1" spans="1:11" ht="15" x14ac:dyDescent="0.45">
      <c r="A1" s="58" t="s">
        <v>88</v>
      </c>
      <c r="B1" s="59" t="s">
        <v>16</v>
      </c>
      <c r="C1" s="59" t="s">
        <v>14</v>
      </c>
      <c r="D1" s="59" t="s">
        <v>15</v>
      </c>
      <c r="E1" s="59" t="s">
        <v>89</v>
      </c>
      <c r="F1" s="59" t="s">
        <v>90</v>
      </c>
      <c r="G1" s="59" t="s">
        <v>91</v>
      </c>
      <c r="H1" s="59" t="s">
        <v>18</v>
      </c>
      <c r="I1" s="59" t="s">
        <v>17</v>
      </c>
      <c r="J1" s="59" t="s">
        <v>31</v>
      </c>
      <c r="K1" s="60" t="s">
        <v>30</v>
      </c>
    </row>
    <row r="2" spans="1:11" ht="15.4" x14ac:dyDescent="0.45">
      <c r="A2" s="67">
        <v>1</v>
      </c>
      <c r="B2" s="61">
        <v>1600</v>
      </c>
      <c r="C2" s="61">
        <v>1500</v>
      </c>
      <c r="D2" s="61">
        <v>1600</v>
      </c>
      <c r="E2" s="61">
        <v>1600</v>
      </c>
      <c r="F2" s="61">
        <v>1500</v>
      </c>
      <c r="G2" s="61">
        <v>1600</v>
      </c>
      <c r="H2" s="63">
        <v>-100</v>
      </c>
      <c r="I2" s="63">
        <v>-100</v>
      </c>
      <c r="J2" s="61">
        <v>0.94</v>
      </c>
      <c r="K2" s="65">
        <v>0.94</v>
      </c>
    </row>
    <row r="3" spans="1:11" ht="15.4" x14ac:dyDescent="0.45">
      <c r="A3" s="67">
        <v>2</v>
      </c>
      <c r="B3" s="61">
        <v>1600</v>
      </c>
      <c r="C3" s="61">
        <v>1500</v>
      </c>
      <c r="D3" s="61">
        <v>1650</v>
      </c>
      <c r="E3" s="61">
        <v>3200</v>
      </c>
      <c r="F3" s="61">
        <v>3000</v>
      </c>
      <c r="G3" s="61">
        <v>3250</v>
      </c>
      <c r="H3" s="63">
        <v>-200</v>
      </c>
      <c r="I3" s="63">
        <v>-250</v>
      </c>
      <c r="J3" s="61">
        <v>0.94</v>
      </c>
      <c r="K3" s="65">
        <v>0.92</v>
      </c>
    </row>
    <row r="4" spans="1:11" ht="15.4" x14ac:dyDescent="0.45">
      <c r="A4" s="67">
        <v>3</v>
      </c>
      <c r="B4" s="61">
        <v>1600</v>
      </c>
      <c r="C4" s="61">
        <v>1400</v>
      </c>
      <c r="D4" s="61">
        <v>1600</v>
      </c>
      <c r="E4" s="61">
        <v>4800</v>
      </c>
      <c r="F4" s="61">
        <v>4400</v>
      </c>
      <c r="G4" s="61">
        <v>4850</v>
      </c>
      <c r="H4" s="63">
        <v>-400</v>
      </c>
      <c r="I4" s="63">
        <v>-450</v>
      </c>
      <c r="J4" s="61">
        <v>0.92</v>
      </c>
      <c r="K4" s="65">
        <v>0.91</v>
      </c>
    </row>
    <row r="5" spans="1:11" ht="15.4" x14ac:dyDescent="0.45">
      <c r="A5" s="67">
        <v>4</v>
      </c>
      <c r="B5" s="61">
        <v>1600</v>
      </c>
      <c r="C5" s="61">
        <v>1500</v>
      </c>
      <c r="D5" s="61">
        <v>1650</v>
      </c>
      <c r="E5" s="61">
        <v>6400</v>
      </c>
      <c r="F5" s="61">
        <v>5900</v>
      </c>
      <c r="G5" s="61">
        <v>6500</v>
      </c>
      <c r="H5" s="63">
        <v>-500</v>
      </c>
      <c r="I5" s="63">
        <v>-600</v>
      </c>
      <c r="J5" s="61">
        <v>0.92</v>
      </c>
      <c r="K5" s="65">
        <v>0.91</v>
      </c>
    </row>
    <row r="6" spans="1:11" ht="15.4" x14ac:dyDescent="0.45">
      <c r="A6" s="67">
        <v>5</v>
      </c>
      <c r="B6" s="61">
        <v>640</v>
      </c>
      <c r="C6" s="61">
        <v>650</v>
      </c>
      <c r="D6" s="61">
        <v>700</v>
      </c>
      <c r="E6" s="61">
        <v>7040</v>
      </c>
      <c r="F6" s="61">
        <v>6550</v>
      </c>
      <c r="G6" s="61">
        <v>7200</v>
      </c>
      <c r="H6" s="63">
        <v>-490</v>
      </c>
      <c r="I6" s="63">
        <v>-650</v>
      </c>
      <c r="J6" s="61">
        <v>0.93</v>
      </c>
      <c r="K6" s="65">
        <v>0.91</v>
      </c>
    </row>
    <row r="7" spans="1:11" ht="15.4" x14ac:dyDescent="0.45">
      <c r="A7" s="67">
        <v>6</v>
      </c>
      <c r="B7" s="61">
        <v>640</v>
      </c>
      <c r="C7" s="61">
        <v>700</v>
      </c>
      <c r="D7" s="61">
        <v>750</v>
      </c>
      <c r="E7" s="61">
        <v>7680</v>
      </c>
      <c r="F7" s="61">
        <v>7250</v>
      </c>
      <c r="G7" s="61">
        <v>7950</v>
      </c>
      <c r="H7" s="63">
        <v>-430</v>
      </c>
      <c r="I7" s="63">
        <v>-700</v>
      </c>
      <c r="J7" s="61">
        <v>0.94</v>
      </c>
      <c r="K7" s="65">
        <v>0.91</v>
      </c>
    </row>
    <row r="8" spans="1:11" ht="15.4" x14ac:dyDescent="0.45">
      <c r="A8" s="67">
        <v>7</v>
      </c>
      <c r="B8" s="61">
        <v>1280</v>
      </c>
      <c r="C8" s="61">
        <v>1300</v>
      </c>
      <c r="D8" s="61">
        <v>1350</v>
      </c>
      <c r="E8" s="61">
        <v>8960</v>
      </c>
      <c r="F8" s="61">
        <v>8550</v>
      </c>
      <c r="G8" s="61">
        <v>9300</v>
      </c>
      <c r="H8" s="63">
        <v>-410</v>
      </c>
      <c r="I8" s="63">
        <v>-750</v>
      </c>
      <c r="J8" s="61">
        <v>0.95</v>
      </c>
      <c r="K8" s="65">
        <v>0.92</v>
      </c>
    </row>
    <row r="9" spans="1:11" ht="15.4" x14ac:dyDescent="0.45">
      <c r="A9" s="67">
        <v>8</v>
      </c>
      <c r="B9" s="61">
        <v>1280</v>
      </c>
      <c r="C9" s="61">
        <v>1400</v>
      </c>
      <c r="D9" s="61">
        <v>1400</v>
      </c>
      <c r="E9" s="61">
        <v>10240</v>
      </c>
      <c r="F9" s="61">
        <v>9950</v>
      </c>
      <c r="G9" s="61">
        <v>10700</v>
      </c>
      <c r="H9" s="63">
        <v>-290</v>
      </c>
      <c r="I9" s="63">
        <v>-750</v>
      </c>
      <c r="J9" s="61">
        <v>0.97</v>
      </c>
      <c r="K9" s="65">
        <v>0.93</v>
      </c>
    </row>
    <row r="10" spans="1:11" ht="15.4" x14ac:dyDescent="0.45">
      <c r="A10" s="67">
        <v>9</v>
      </c>
      <c r="B10" s="61">
        <v>640</v>
      </c>
      <c r="C10" s="61">
        <v>700</v>
      </c>
      <c r="D10" s="61">
        <v>680</v>
      </c>
      <c r="E10" s="61">
        <v>10880</v>
      </c>
      <c r="F10" s="61">
        <v>10650</v>
      </c>
      <c r="G10" s="61">
        <v>11380</v>
      </c>
      <c r="H10" s="63">
        <v>-230</v>
      </c>
      <c r="I10" s="63">
        <v>-730</v>
      </c>
      <c r="J10" s="61">
        <v>0.98</v>
      </c>
      <c r="K10" s="65">
        <v>0.94</v>
      </c>
    </row>
    <row r="11" spans="1:11" ht="15.4" x14ac:dyDescent="0.45">
      <c r="A11" s="67">
        <v>10</v>
      </c>
      <c r="B11" s="61">
        <v>1600</v>
      </c>
      <c r="C11" s="61">
        <v>1700</v>
      </c>
      <c r="D11" s="61">
        <v>1600</v>
      </c>
      <c r="E11" s="61">
        <v>12480</v>
      </c>
      <c r="F11" s="61">
        <v>12350</v>
      </c>
      <c r="G11" s="61">
        <v>12980</v>
      </c>
      <c r="H11" s="63">
        <v>-130</v>
      </c>
      <c r="I11" s="63">
        <v>-630</v>
      </c>
      <c r="J11" s="61">
        <v>0.99</v>
      </c>
      <c r="K11" s="65">
        <v>0.95</v>
      </c>
    </row>
    <row r="12" spans="1:11" ht="15.4" x14ac:dyDescent="0.45">
      <c r="A12" s="67">
        <v>11</v>
      </c>
      <c r="B12" s="61">
        <v>1280</v>
      </c>
      <c r="C12" s="61">
        <v>1400</v>
      </c>
      <c r="D12" s="61">
        <v>1300</v>
      </c>
      <c r="E12" s="61">
        <v>13760</v>
      </c>
      <c r="F12" s="61">
        <v>13750</v>
      </c>
      <c r="G12" s="61">
        <v>14280</v>
      </c>
      <c r="H12" s="63">
        <v>-10</v>
      </c>
      <c r="I12" s="63">
        <v>-530</v>
      </c>
      <c r="J12" s="61">
        <v>1</v>
      </c>
      <c r="K12" s="65">
        <v>0.96</v>
      </c>
    </row>
    <row r="13" spans="1:11" ht="15.4" x14ac:dyDescent="0.45">
      <c r="A13" s="67">
        <v>12</v>
      </c>
      <c r="B13" s="61">
        <v>1280</v>
      </c>
      <c r="C13" s="61">
        <v>1300</v>
      </c>
      <c r="D13" s="61">
        <v>1200</v>
      </c>
      <c r="E13" s="61">
        <v>15040</v>
      </c>
      <c r="F13" s="61">
        <v>15050</v>
      </c>
      <c r="G13" s="61">
        <v>15480</v>
      </c>
      <c r="H13" s="61">
        <v>10</v>
      </c>
      <c r="I13" s="63">
        <v>-430</v>
      </c>
      <c r="J13" s="61">
        <v>1</v>
      </c>
      <c r="K13" s="65">
        <v>0.97</v>
      </c>
    </row>
    <row r="14" spans="1:11" ht="15.4" x14ac:dyDescent="0.45">
      <c r="A14" s="67">
        <v>13</v>
      </c>
      <c r="B14" s="61">
        <v>1600</v>
      </c>
      <c r="C14" s="61">
        <v>1600</v>
      </c>
      <c r="D14" s="61">
        <v>1500</v>
      </c>
      <c r="E14" s="61">
        <v>16640</v>
      </c>
      <c r="F14" s="61">
        <v>16650</v>
      </c>
      <c r="G14" s="61">
        <v>16980</v>
      </c>
      <c r="H14" s="61">
        <v>10</v>
      </c>
      <c r="I14" s="63">
        <v>-330</v>
      </c>
      <c r="J14" s="61">
        <v>1</v>
      </c>
      <c r="K14" s="65">
        <v>0.98</v>
      </c>
    </row>
    <row r="15" spans="1:11" ht="15.4" x14ac:dyDescent="0.45">
      <c r="A15" s="67">
        <v>14</v>
      </c>
      <c r="B15" s="61">
        <v>1600</v>
      </c>
      <c r="C15" s="61">
        <v>1600</v>
      </c>
      <c r="D15" s="61">
        <v>1550</v>
      </c>
      <c r="E15" s="61">
        <v>18240</v>
      </c>
      <c r="F15" s="61">
        <v>18250</v>
      </c>
      <c r="G15" s="61">
        <v>18530</v>
      </c>
      <c r="H15" s="61">
        <v>10</v>
      </c>
      <c r="I15" s="63">
        <v>-280</v>
      </c>
      <c r="J15" s="61">
        <v>1</v>
      </c>
      <c r="K15" s="65">
        <v>0.99</v>
      </c>
    </row>
    <row r="16" spans="1:11" ht="15.4" x14ac:dyDescent="0.45">
      <c r="A16" s="67">
        <v>15</v>
      </c>
      <c r="B16" s="61">
        <v>960</v>
      </c>
      <c r="C16" s="61">
        <v>960</v>
      </c>
      <c r="D16" s="61">
        <v>950</v>
      </c>
      <c r="E16" s="61">
        <v>19200</v>
      </c>
      <c r="F16" s="61">
        <v>19210</v>
      </c>
      <c r="G16" s="61">
        <v>19480</v>
      </c>
      <c r="H16" s="61">
        <v>10</v>
      </c>
      <c r="I16" s="63">
        <v>-270</v>
      </c>
      <c r="J16" s="61">
        <v>1</v>
      </c>
      <c r="K16" s="65">
        <v>0.99</v>
      </c>
    </row>
    <row r="17" spans="1:11" ht="15.4" x14ac:dyDescent="0.45">
      <c r="A17" s="67">
        <v>16</v>
      </c>
      <c r="B17" s="61">
        <v>0</v>
      </c>
      <c r="C17" s="61">
        <v>0</v>
      </c>
      <c r="D17" s="61">
        <v>0</v>
      </c>
      <c r="E17" s="61">
        <v>19200</v>
      </c>
      <c r="F17" s="61">
        <v>19210</v>
      </c>
      <c r="G17" s="61">
        <v>19480</v>
      </c>
      <c r="H17" s="61">
        <v>10</v>
      </c>
      <c r="I17" s="63">
        <v>-270</v>
      </c>
      <c r="J17" s="61">
        <v>1</v>
      </c>
      <c r="K17" s="65">
        <v>0.99</v>
      </c>
    </row>
    <row r="18" spans="1:11" ht="15.75" thickBot="1" x14ac:dyDescent="0.5">
      <c r="A18" s="68">
        <v>17</v>
      </c>
      <c r="B18" s="62">
        <v>1600</v>
      </c>
      <c r="C18" s="62">
        <v>1600</v>
      </c>
      <c r="D18" s="62">
        <v>1600</v>
      </c>
      <c r="E18" s="62">
        <v>20800</v>
      </c>
      <c r="F18" s="62">
        <v>20810</v>
      </c>
      <c r="G18" s="62">
        <v>21080</v>
      </c>
      <c r="H18" s="62">
        <v>10</v>
      </c>
      <c r="I18" s="64">
        <v>-270</v>
      </c>
      <c r="J18" s="62">
        <v>1</v>
      </c>
      <c r="K18" s="66">
        <v>0.99</v>
      </c>
    </row>
    <row r="22" spans="1:11" x14ac:dyDescent="0.45">
      <c r="F22" s="15" t="s">
        <v>92</v>
      </c>
    </row>
    <row r="24" spans="1:11" x14ac:dyDescent="0.45">
      <c r="F24" s="15" t="s">
        <v>93</v>
      </c>
    </row>
    <row r="27" spans="1:11" x14ac:dyDescent="0.45">
      <c r="F27"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7D86B-1B1F-4D81-B6A9-7AEC931D6F67}">
  <dimension ref="A1:L20"/>
  <sheetViews>
    <sheetView workbookViewId="0"/>
  </sheetViews>
  <sheetFormatPr defaultRowHeight="14.25" x14ac:dyDescent="0.45"/>
  <cols>
    <col min="12" max="12" width="27.19921875" customWidth="1"/>
  </cols>
  <sheetData>
    <row r="1" spans="1:12" ht="28.5" x14ac:dyDescent="0.45">
      <c r="A1" s="32" t="s">
        <v>21</v>
      </c>
      <c r="B1" s="32" t="s">
        <v>39</v>
      </c>
      <c r="C1" s="32" t="s">
        <v>2</v>
      </c>
      <c r="D1" s="32" t="s">
        <v>53</v>
      </c>
    </row>
    <row r="2" spans="1:12" ht="42.75" x14ac:dyDescent="0.45">
      <c r="A2" s="33" t="s">
        <v>54</v>
      </c>
      <c r="B2" s="33">
        <v>1</v>
      </c>
      <c r="C2" s="33">
        <v>0</v>
      </c>
      <c r="D2" s="33">
        <v>1</v>
      </c>
    </row>
    <row r="3" spans="1:12" ht="28.5" x14ac:dyDescent="0.45">
      <c r="A3" s="33" t="s">
        <v>55</v>
      </c>
      <c r="B3" s="33">
        <v>3</v>
      </c>
      <c r="C3" s="33">
        <v>1</v>
      </c>
      <c r="D3" s="33">
        <v>4</v>
      </c>
    </row>
    <row r="4" spans="1:12" ht="28.5" x14ac:dyDescent="0.45">
      <c r="A4" s="33" t="s">
        <v>56</v>
      </c>
      <c r="B4" s="33">
        <v>2</v>
      </c>
      <c r="C4" s="33">
        <v>4</v>
      </c>
      <c r="D4" s="33">
        <v>6</v>
      </c>
    </row>
    <row r="5" spans="1:12" ht="28.5" x14ac:dyDescent="0.45">
      <c r="A5" s="33" t="s">
        <v>57</v>
      </c>
      <c r="B5" s="33">
        <v>3</v>
      </c>
      <c r="C5" s="33">
        <v>6</v>
      </c>
      <c r="D5" s="33">
        <v>9</v>
      </c>
      <c r="I5" s="32" t="s">
        <v>21</v>
      </c>
      <c r="J5" s="36" t="s">
        <v>39</v>
      </c>
      <c r="K5" s="36" t="s">
        <v>70</v>
      </c>
      <c r="L5" s="36" t="s">
        <v>71</v>
      </c>
    </row>
    <row r="6" spans="1:12" ht="28.5" x14ac:dyDescent="0.45">
      <c r="A6" s="33" t="s">
        <v>58</v>
      </c>
      <c r="B6" s="33">
        <v>2</v>
      </c>
      <c r="C6" s="33">
        <v>6</v>
      </c>
      <c r="D6" s="33">
        <v>8</v>
      </c>
      <c r="I6" s="33">
        <v>2</v>
      </c>
      <c r="J6" s="35">
        <v>1</v>
      </c>
      <c r="K6" s="35">
        <v>5</v>
      </c>
      <c r="L6" s="35" t="s">
        <v>72</v>
      </c>
    </row>
    <row r="7" spans="1:12" ht="28.5" x14ac:dyDescent="0.45">
      <c r="A7" s="33" t="s">
        <v>59</v>
      </c>
      <c r="B7" s="33">
        <v>1</v>
      </c>
      <c r="C7" s="33">
        <v>9</v>
      </c>
      <c r="D7" s="33">
        <v>10</v>
      </c>
      <c r="I7" s="33">
        <v>3</v>
      </c>
      <c r="J7" s="35">
        <v>3</v>
      </c>
      <c r="K7" s="35">
        <v>5</v>
      </c>
      <c r="L7" s="35" t="s">
        <v>73</v>
      </c>
    </row>
    <row r="8" spans="1:12" ht="42.75" x14ac:dyDescent="0.45">
      <c r="A8" s="33" t="s">
        <v>60</v>
      </c>
      <c r="B8" s="33">
        <v>2</v>
      </c>
      <c r="C8" s="33">
        <v>10</v>
      </c>
      <c r="D8" s="33">
        <v>12</v>
      </c>
      <c r="I8" s="33">
        <v>4</v>
      </c>
      <c r="J8" s="35">
        <v>2</v>
      </c>
      <c r="K8" s="35">
        <v>2</v>
      </c>
      <c r="L8" s="35" t="s">
        <v>74</v>
      </c>
    </row>
    <row r="9" spans="1:12" ht="28.5" x14ac:dyDescent="0.45">
      <c r="A9" s="33" t="s">
        <v>61</v>
      </c>
      <c r="B9" s="33">
        <v>3</v>
      </c>
      <c r="C9" s="33">
        <v>12</v>
      </c>
      <c r="D9" s="33">
        <v>15</v>
      </c>
      <c r="I9" s="33">
        <v>5</v>
      </c>
      <c r="J9" s="35">
        <v>3</v>
      </c>
      <c r="K9" s="35">
        <v>2</v>
      </c>
      <c r="L9" s="35" t="s">
        <v>75</v>
      </c>
    </row>
    <row r="10" spans="1:12" x14ac:dyDescent="0.45">
      <c r="A10" s="33" t="s">
        <v>62</v>
      </c>
      <c r="B10" s="33">
        <v>1</v>
      </c>
      <c r="C10" s="33">
        <v>15</v>
      </c>
      <c r="D10" s="33">
        <v>16</v>
      </c>
      <c r="I10" s="33">
        <v>6</v>
      </c>
      <c r="J10" s="35">
        <v>2</v>
      </c>
      <c r="K10" s="35">
        <v>2</v>
      </c>
      <c r="L10" s="35" t="s">
        <v>74</v>
      </c>
    </row>
    <row r="11" spans="1:12" x14ac:dyDescent="0.45">
      <c r="A11" s="33" t="s">
        <v>63</v>
      </c>
      <c r="B11" s="33">
        <v>2</v>
      </c>
      <c r="C11" s="33">
        <v>15</v>
      </c>
      <c r="D11" s="33">
        <v>17</v>
      </c>
      <c r="I11" s="33">
        <v>7</v>
      </c>
      <c r="J11" s="35">
        <v>1</v>
      </c>
      <c r="K11" s="35">
        <v>5</v>
      </c>
      <c r="L11" s="35" t="s">
        <v>72</v>
      </c>
    </row>
    <row r="12" spans="1:12" ht="28.5" x14ac:dyDescent="0.45">
      <c r="A12" s="33" t="s">
        <v>64</v>
      </c>
      <c r="B12" s="33">
        <v>1</v>
      </c>
      <c r="C12" s="33">
        <v>17</v>
      </c>
      <c r="D12" s="33">
        <v>18</v>
      </c>
      <c r="I12" s="33">
        <v>8</v>
      </c>
      <c r="J12" s="35">
        <v>2</v>
      </c>
      <c r="K12" s="35">
        <v>2</v>
      </c>
      <c r="L12" s="35" t="s">
        <v>74</v>
      </c>
    </row>
    <row r="13" spans="1:12" ht="28.5" x14ac:dyDescent="0.45">
      <c r="A13" s="33" t="s">
        <v>65</v>
      </c>
      <c r="B13" s="33">
        <v>4</v>
      </c>
      <c r="C13" s="33">
        <v>10</v>
      </c>
      <c r="D13" s="33">
        <v>14</v>
      </c>
      <c r="I13" s="33">
        <v>9</v>
      </c>
      <c r="J13" s="35">
        <v>3</v>
      </c>
      <c r="K13" s="35">
        <v>3</v>
      </c>
      <c r="L13" s="35" t="s">
        <v>76</v>
      </c>
    </row>
    <row r="14" spans="1:12" ht="28.5" x14ac:dyDescent="0.45">
      <c r="A14" s="33" t="s">
        <v>66</v>
      </c>
      <c r="B14" s="33">
        <v>3</v>
      </c>
      <c r="C14" s="33">
        <v>18</v>
      </c>
      <c r="D14" s="33">
        <v>21</v>
      </c>
      <c r="I14" s="33">
        <v>10</v>
      </c>
      <c r="J14" s="35">
        <v>1</v>
      </c>
      <c r="K14" s="35">
        <v>0</v>
      </c>
      <c r="L14" s="36">
        <v>0</v>
      </c>
    </row>
    <row r="15" spans="1:12" ht="28.5" x14ac:dyDescent="0.45">
      <c r="A15" s="33" t="s">
        <v>67</v>
      </c>
      <c r="B15" s="33">
        <v>1</v>
      </c>
      <c r="C15" s="33">
        <v>21</v>
      </c>
      <c r="D15" s="33">
        <v>22</v>
      </c>
      <c r="I15" s="33">
        <v>11</v>
      </c>
      <c r="J15" s="35">
        <v>2</v>
      </c>
      <c r="K15" s="35">
        <v>5</v>
      </c>
      <c r="L15" s="35" t="s">
        <v>77</v>
      </c>
    </row>
    <row r="16" spans="1:12" ht="28.5" x14ac:dyDescent="0.45">
      <c r="A16" s="33" t="s">
        <v>68</v>
      </c>
      <c r="B16" s="33">
        <v>0</v>
      </c>
      <c r="C16" s="33">
        <v>21</v>
      </c>
      <c r="D16" s="33">
        <v>21</v>
      </c>
      <c r="I16" s="33">
        <v>12</v>
      </c>
      <c r="J16" s="35">
        <v>1</v>
      </c>
      <c r="K16" s="35">
        <v>0</v>
      </c>
      <c r="L16" s="36">
        <v>0</v>
      </c>
    </row>
    <row r="17" spans="9:12" x14ac:dyDescent="0.45">
      <c r="I17" s="33">
        <v>13</v>
      </c>
      <c r="J17" s="35">
        <v>4</v>
      </c>
      <c r="K17" s="35">
        <v>2</v>
      </c>
      <c r="L17" s="35" t="s">
        <v>78</v>
      </c>
    </row>
    <row r="18" spans="9:12" x14ac:dyDescent="0.45">
      <c r="I18" s="33">
        <v>14</v>
      </c>
      <c r="J18" s="35">
        <v>3</v>
      </c>
      <c r="K18" s="35">
        <v>2</v>
      </c>
      <c r="L18" s="35" t="s">
        <v>75</v>
      </c>
    </row>
    <row r="19" spans="9:12" x14ac:dyDescent="0.45">
      <c r="I19" s="33">
        <v>15</v>
      </c>
      <c r="J19" s="35">
        <v>1</v>
      </c>
      <c r="K19" s="35">
        <v>5</v>
      </c>
      <c r="L19" s="35" t="s">
        <v>72</v>
      </c>
    </row>
    <row r="20" spans="9:12" x14ac:dyDescent="0.45">
      <c r="I20" s="33">
        <v>16</v>
      </c>
      <c r="J20" s="35">
        <v>0</v>
      </c>
      <c r="K20" s="35">
        <v>0</v>
      </c>
      <c r="L20" s="3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2026-03-14T07:01:58Z</dcterms:modified>
</cp:coreProperties>
</file>