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filterPrivacy="1"/>
  <xr:revisionPtr revIDLastSave="11" documentId="13_ncr:1_{F4B336DE-556E-8D47-A734-4A36CFB6D76E}" xr6:coauthVersionLast="47" xr6:coauthVersionMax="47" xr10:uidLastSave="{6FD602A9-7F2C-8648-8385-50DF387440BE}"/>
  <bookViews>
    <workbookView xWindow="-9380" yWindow="-28300" windowWidth="51200" windowHeight="28300" activeTab="6" xr2:uid="{00000000-000D-0000-FFFF-FFFF00000000}"/>
  </bookViews>
  <sheets>
    <sheet name="Scenario 1" sheetId="3" r:id="rId1"/>
    <sheet name="Scenario 2 &amp; 3 Crashing" sheetId="4" r:id="rId2"/>
    <sheet name="Exercise 2" sheetId="2" r:id="rId3"/>
    <sheet name="Scenario 4" sheetId="7" r:id="rId4"/>
    <sheet name="Scenario 4 Crashing (2)" sheetId="11" r:id="rId5"/>
    <sheet name="Scenario 5" sheetId="9" r:id="rId6"/>
    <sheet name="Scenario 5 Crashing"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56" i="4" l="1"/>
  <c r="AB67" i="8"/>
  <c r="AG48" i="8"/>
  <c r="AG47" i="8"/>
  <c r="AG46" i="8"/>
  <c r="AG45" i="8"/>
  <c r="AG44" i="8"/>
  <c r="AB66" i="8"/>
  <c r="AB65" i="8"/>
  <c r="AB64" i="8"/>
  <c r="AD64" i="8"/>
  <c r="AD65" i="8" s="1"/>
  <c r="AD66" i="8" s="1"/>
  <c r="AD67" i="8" s="1"/>
  <c r="AB63" i="8"/>
  <c r="AB62" i="8"/>
  <c r="AB61" i="8"/>
  <c r="AB60" i="8"/>
  <c r="AB59" i="8"/>
  <c r="AB58" i="8"/>
  <c r="AB57" i="8"/>
  <c r="AB56" i="8"/>
  <c r="AB55" i="8"/>
  <c r="AA49" i="4"/>
  <c r="AA48" i="4"/>
  <c r="AA47" i="4"/>
  <c r="AA46" i="4"/>
  <c r="AA45" i="4"/>
  <c r="AB63" i="11"/>
  <c r="AB62" i="11"/>
  <c r="AB61" i="11"/>
  <c r="AB60" i="11"/>
  <c r="AB59" i="11"/>
  <c r="AB58" i="11"/>
  <c r="AB57" i="11"/>
  <c r="AB56" i="11"/>
  <c r="AB55" i="11"/>
  <c r="AC55" i="11" s="1"/>
  <c r="AD54" i="11"/>
  <c r="AE54" i="11" s="1"/>
  <c r="AC54" i="11"/>
  <c r="AF38" i="11"/>
  <c r="AF37" i="11"/>
  <c r="AF36" i="11"/>
  <c r="AF35" i="11"/>
  <c r="AF34" i="11"/>
  <c r="AF33" i="11"/>
  <c r="AF32" i="11"/>
  <c r="AF31" i="11"/>
  <c r="AF30" i="11"/>
  <c r="AF29" i="11"/>
  <c r="AF28" i="11"/>
  <c r="AF27" i="11"/>
  <c r="AF26" i="11"/>
  <c r="AF25" i="11"/>
  <c r="AF24" i="11"/>
  <c r="E4" i="11"/>
  <c r="H12" i="11" s="1"/>
  <c r="J12" i="11" s="1"/>
  <c r="AD54" i="8"/>
  <c r="AD55" i="8" s="1"/>
  <c r="AD56" i="8" s="1"/>
  <c r="AD57" i="8" s="1"/>
  <c r="AD58" i="8" s="1"/>
  <c r="AD59" i="8" s="1"/>
  <c r="AD60" i="8" s="1"/>
  <c r="AD61" i="8" s="1"/>
  <c r="AD62" i="8" s="1"/>
  <c r="AD63" i="8" s="1"/>
  <c r="AC54" i="8"/>
  <c r="AH38" i="8"/>
  <c r="AH37" i="8"/>
  <c r="AH36" i="8"/>
  <c r="AH35" i="8"/>
  <c r="AH34" i="8"/>
  <c r="AH33" i="8"/>
  <c r="AH32" i="8"/>
  <c r="AH31" i="8"/>
  <c r="AH30" i="8"/>
  <c r="AH29" i="8"/>
  <c r="AH28" i="8"/>
  <c r="AH27" i="8"/>
  <c r="AH26" i="8"/>
  <c r="AH25" i="8"/>
  <c r="AH24" i="8"/>
  <c r="E4" i="8"/>
  <c r="AC55" i="4"/>
  <c r="AB65" i="4"/>
  <c r="AB64" i="4"/>
  <c r="AB63" i="4"/>
  <c r="AB62" i="4"/>
  <c r="AB61" i="4"/>
  <c r="AB60" i="4"/>
  <c r="AB59" i="4"/>
  <c r="AB58" i="4"/>
  <c r="AB57" i="4"/>
  <c r="AB56" i="4"/>
  <c r="AC55" i="8" l="1"/>
  <c r="H4" i="11"/>
  <c r="J4" i="11" s="1"/>
  <c r="L4" i="11" s="1"/>
  <c r="N4" i="11" s="1"/>
  <c r="P4" i="11" s="1"/>
  <c r="R4" i="11" s="1"/>
  <c r="H8" i="11"/>
  <c r="J8" i="11" s="1"/>
  <c r="P8" i="11" s="1"/>
  <c r="R8" i="11" s="1"/>
  <c r="AD55" i="11"/>
  <c r="AD56" i="11" s="1"/>
  <c r="AD57" i="11" s="1"/>
  <c r="AD58" i="11" s="1"/>
  <c r="AD59" i="11" s="1"/>
  <c r="AD60" i="11" s="1"/>
  <c r="AD61" i="11" s="1"/>
  <c r="AD62" i="11" s="1"/>
  <c r="AD63" i="11" s="1"/>
  <c r="T8" i="11"/>
  <c r="V8" i="11" s="1"/>
  <c r="X8" i="11" s="1"/>
  <c r="Z8" i="11" s="1"/>
  <c r="L12" i="11"/>
  <c r="N12" i="11" s="1"/>
  <c r="X12" i="11"/>
  <c r="Z12" i="11" s="1"/>
  <c r="AB12" i="11" s="1"/>
  <c r="AD12" i="11" s="1"/>
  <c r="AC56" i="11"/>
  <c r="AE55" i="11"/>
  <c r="AE54" i="8"/>
  <c r="AC56" i="8"/>
  <c r="AE55" i="8"/>
  <c r="H12" i="8"/>
  <c r="J12" i="8" s="1"/>
  <c r="H4" i="8"/>
  <c r="J4" i="8" s="1"/>
  <c r="L4" i="8" s="1"/>
  <c r="N4" i="8" s="1"/>
  <c r="P4" i="8" s="1"/>
  <c r="R4" i="8" s="1"/>
  <c r="H8" i="8"/>
  <c r="J8" i="8" s="1"/>
  <c r="P8" i="8" s="1"/>
  <c r="R8" i="8" s="1"/>
  <c r="T8" i="8" l="1"/>
  <c r="V8" i="8" s="1"/>
  <c r="X8" i="8" s="1"/>
  <c r="Z8" i="8" s="1"/>
  <c r="AB8" i="11"/>
  <c r="AD8" i="11" s="1"/>
  <c r="AF5" i="11" s="1"/>
  <c r="AH5" i="11" s="1"/>
  <c r="AF11" i="11" s="1"/>
  <c r="AH11" i="11" s="1"/>
  <c r="AH13" i="11" s="1"/>
  <c r="AC57" i="11"/>
  <c r="AE56" i="11"/>
  <c r="AC57" i="8"/>
  <c r="AE56" i="8"/>
  <c r="L12" i="8"/>
  <c r="N12" i="8" s="1"/>
  <c r="X12" i="8"/>
  <c r="Z12" i="8" s="1"/>
  <c r="AB12" i="8" s="1"/>
  <c r="AD12" i="8" s="1"/>
  <c r="AE57" i="11" l="1"/>
  <c r="AC58" i="11"/>
  <c r="AH12" i="11"/>
  <c r="AF13" i="11"/>
  <c r="AC58" i="8"/>
  <c r="AE57" i="8"/>
  <c r="AB8" i="8"/>
  <c r="AD8" i="8" s="1"/>
  <c r="AF5" i="8" s="1"/>
  <c r="AH5" i="8" s="1"/>
  <c r="AF11" i="8" s="1"/>
  <c r="AH11" i="8" s="1"/>
  <c r="AH13" i="8" s="1"/>
  <c r="AF13" i="8" s="1"/>
  <c r="AF12" i="11" l="1"/>
  <c r="AH7" i="11"/>
  <c r="AE58" i="11"/>
  <c r="AC59" i="11"/>
  <c r="AC59" i="8"/>
  <c r="AE58" i="8"/>
  <c r="AH12" i="8"/>
  <c r="AH7" i="8"/>
  <c r="AF12" i="8"/>
  <c r="AE59" i="11" l="1"/>
  <c r="AC60" i="11"/>
  <c r="AF7" i="11"/>
  <c r="AH6" i="11"/>
  <c r="AE59" i="8"/>
  <c r="AC60" i="8"/>
  <c r="AF7" i="8"/>
  <c r="AH6" i="8"/>
  <c r="AC61" i="11" l="1"/>
  <c r="AE60" i="11"/>
  <c r="Z10" i="11"/>
  <c r="AF6" i="11"/>
  <c r="AD10" i="11"/>
  <c r="AE60" i="8"/>
  <c r="AC61" i="8"/>
  <c r="Z10" i="8"/>
  <c r="AF6" i="8"/>
  <c r="AD10" i="8"/>
  <c r="AB10" i="11" l="1"/>
  <c r="AD9" i="11"/>
  <c r="Z9" i="11"/>
  <c r="X10" i="11"/>
  <c r="AC62" i="11"/>
  <c r="AE61" i="11"/>
  <c r="AC62" i="8"/>
  <c r="AE61" i="8"/>
  <c r="AD9" i="8"/>
  <c r="AB10" i="8"/>
  <c r="X10" i="8"/>
  <c r="Z9" i="8"/>
  <c r="AE62" i="11" l="1"/>
  <c r="AC63" i="11"/>
  <c r="AE63" i="11" s="1"/>
  <c r="V10" i="11"/>
  <c r="X9" i="11"/>
  <c r="AB9" i="11"/>
  <c r="R6" i="11"/>
  <c r="N14" i="11"/>
  <c r="AD14" i="11"/>
  <c r="AC63" i="8"/>
  <c r="AC64" i="8" s="1"/>
  <c r="AE62" i="8"/>
  <c r="V10" i="8"/>
  <c r="X9" i="8"/>
  <c r="AD14" i="8"/>
  <c r="AB9" i="8"/>
  <c r="R6" i="8"/>
  <c r="N14" i="8"/>
  <c r="AC65" i="8" l="1"/>
  <c r="AE64" i="8"/>
  <c r="AB14" i="11"/>
  <c r="AD13" i="11"/>
  <c r="N13" i="11"/>
  <c r="L14" i="11"/>
  <c r="L13" i="11" s="1"/>
  <c r="R5" i="11"/>
  <c r="P6" i="11"/>
  <c r="V9" i="11"/>
  <c r="T10" i="11"/>
  <c r="AE63" i="8"/>
  <c r="L14" i="8"/>
  <c r="L13" i="8" s="1"/>
  <c r="N13" i="8"/>
  <c r="P6" i="8"/>
  <c r="R5" i="8"/>
  <c r="AD13" i="8"/>
  <c r="AB14" i="8"/>
  <c r="V9" i="8"/>
  <c r="T10" i="8"/>
  <c r="AC66" i="8" l="1"/>
  <c r="AE65" i="8"/>
  <c r="T9" i="11"/>
  <c r="R10" i="11"/>
  <c r="P5" i="11"/>
  <c r="N6" i="11"/>
  <c r="AB13" i="11"/>
  <c r="Z14" i="11"/>
  <c r="T9" i="8"/>
  <c r="R10" i="8"/>
  <c r="AB13" i="8"/>
  <c r="Z14" i="8"/>
  <c r="P5" i="8"/>
  <c r="N6" i="8"/>
  <c r="AE66" i="8" l="1"/>
  <c r="AC67" i="8"/>
  <c r="AE67" i="8" s="1"/>
  <c r="N5" i="11"/>
  <c r="L6" i="11"/>
  <c r="R9" i="11"/>
  <c r="P10" i="11"/>
  <c r="Z13" i="11"/>
  <c r="X14" i="11"/>
  <c r="L6" i="8"/>
  <c r="N5" i="8"/>
  <c r="X14" i="8"/>
  <c r="Z13" i="8"/>
  <c r="P10" i="8"/>
  <c r="R9" i="8"/>
  <c r="L5" i="11" l="1"/>
  <c r="J6" i="11"/>
  <c r="J14" i="11"/>
  <c r="X13" i="11"/>
  <c r="P9" i="11"/>
  <c r="J10" i="11"/>
  <c r="L5" i="8"/>
  <c r="J6" i="8"/>
  <c r="J10" i="8"/>
  <c r="P9" i="8"/>
  <c r="J14" i="8"/>
  <c r="X13" i="8"/>
  <c r="J13" i="11" l="1"/>
  <c r="H14" i="11"/>
  <c r="H13" i="11" s="1"/>
  <c r="J5" i="11"/>
  <c r="H6" i="11"/>
  <c r="J9" i="11"/>
  <c r="H10" i="11"/>
  <c r="H9" i="11" s="1"/>
  <c r="J5" i="8"/>
  <c r="H6" i="8"/>
  <c r="H14" i="8"/>
  <c r="H13" i="8" s="1"/>
  <c r="J13" i="8"/>
  <c r="J9" i="8"/>
  <c r="H10" i="8"/>
  <c r="H9" i="8" s="1"/>
  <c r="H5" i="11" l="1"/>
  <c r="E6" i="11"/>
  <c r="H5" i="8"/>
  <c r="E6" i="8"/>
  <c r="C6" i="11" l="1"/>
  <c r="C5" i="11" s="1"/>
  <c r="E5" i="11"/>
  <c r="E5" i="8"/>
  <c r="C6" i="8"/>
  <c r="C5" i="8" s="1"/>
  <c r="E4" i="4" l="1"/>
  <c r="C43" i="9"/>
  <c r="D34" i="9"/>
  <c r="D33" i="9"/>
  <c r="D31" i="9"/>
  <c r="E30" i="9"/>
  <c r="K18" i="9"/>
  <c r="E34" i="9" s="1"/>
  <c r="J18" i="9"/>
  <c r="K17" i="9"/>
  <c r="E33" i="9" s="1"/>
  <c r="J17" i="9"/>
  <c r="K16" i="9"/>
  <c r="J16" i="9"/>
  <c r="K15" i="9"/>
  <c r="J15" i="9"/>
  <c r="AO14" i="9" s="1"/>
  <c r="AK14" i="9"/>
  <c r="K14" i="9"/>
  <c r="J14" i="9"/>
  <c r="K13" i="9"/>
  <c r="E32" i="9" s="1"/>
  <c r="J13" i="9"/>
  <c r="D32" i="9" s="1"/>
  <c r="K12" i="9"/>
  <c r="E31" i="9" s="1"/>
  <c r="J12" i="9"/>
  <c r="K11" i="9"/>
  <c r="J11" i="9"/>
  <c r="D30" i="9" s="1"/>
  <c r="AO10" i="9"/>
  <c r="AG10" i="9"/>
  <c r="K10" i="9"/>
  <c r="J10" i="9"/>
  <c r="AC6" i="9" s="1"/>
  <c r="K9" i="9"/>
  <c r="J9" i="9"/>
  <c r="K8" i="9"/>
  <c r="J8" i="9"/>
  <c r="Y14" i="9" s="1"/>
  <c r="K7" i="9"/>
  <c r="J7" i="9"/>
  <c r="U14" i="9" s="1"/>
  <c r="Y6" i="9"/>
  <c r="K6" i="9"/>
  <c r="E29" i="9" s="1"/>
  <c r="J6" i="9"/>
  <c r="D29" i="9" s="1"/>
  <c r="K5" i="9"/>
  <c r="J5" i="9"/>
  <c r="U6" i="9" s="1"/>
  <c r="K4" i="9"/>
  <c r="E28" i="9" s="1"/>
  <c r="J4" i="9"/>
  <c r="D28" i="9" s="1"/>
  <c r="C43" i="7"/>
  <c r="E34" i="7"/>
  <c r="D34" i="7"/>
  <c r="E33" i="7"/>
  <c r="D33" i="7"/>
  <c r="D32" i="7"/>
  <c r="E30" i="7"/>
  <c r="D30" i="7"/>
  <c r="E29" i="7"/>
  <c r="D29" i="7"/>
  <c r="K18" i="7"/>
  <c r="J18" i="7"/>
  <c r="K17" i="7"/>
  <c r="J17" i="7"/>
  <c r="K16" i="7"/>
  <c r="J16" i="7"/>
  <c r="AO10" i="7" s="1"/>
  <c r="K15" i="7"/>
  <c r="J15" i="7"/>
  <c r="AO14" i="7" s="1"/>
  <c r="U14" i="7"/>
  <c r="K14" i="7"/>
  <c r="J14" i="7"/>
  <c r="AK14" i="7" s="1"/>
  <c r="K13" i="7"/>
  <c r="E32" i="7" s="1"/>
  <c r="J13" i="7"/>
  <c r="K12" i="7"/>
  <c r="E31" i="7" s="1"/>
  <c r="J12" i="7"/>
  <c r="D31" i="7" s="1"/>
  <c r="K11" i="7"/>
  <c r="J11" i="7"/>
  <c r="AC10" i="7" s="1"/>
  <c r="AK10" i="7"/>
  <c r="AG10" i="7"/>
  <c r="K10" i="7"/>
  <c r="J10" i="7"/>
  <c r="AC6" i="7" s="1"/>
  <c r="K9" i="7"/>
  <c r="J9" i="7"/>
  <c r="K8" i="7"/>
  <c r="J8" i="7"/>
  <c r="Y14" i="7" s="1"/>
  <c r="K7" i="7"/>
  <c r="J7" i="7"/>
  <c r="Y6" i="7"/>
  <c r="K6" i="7"/>
  <c r="J6" i="7"/>
  <c r="U10" i="7" s="1"/>
  <c r="K5" i="7"/>
  <c r="J5" i="7"/>
  <c r="U6" i="7" s="1"/>
  <c r="K4" i="7"/>
  <c r="E28" i="7" s="1"/>
  <c r="J4" i="7"/>
  <c r="D28" i="7" s="1"/>
  <c r="J15" i="3"/>
  <c r="AF36" i="4" s="1"/>
  <c r="J13" i="3"/>
  <c r="J11" i="3"/>
  <c r="J10" i="3"/>
  <c r="AF31" i="4" s="1"/>
  <c r="J7" i="3"/>
  <c r="AF28" i="4" s="1"/>
  <c r="J6" i="3"/>
  <c r="AF27" i="4" s="1"/>
  <c r="AD55" i="4"/>
  <c r="AD56" i="4" s="1"/>
  <c r="AD57" i="4" s="1"/>
  <c r="AD58" i="4" s="1"/>
  <c r="AD59" i="4" s="1"/>
  <c r="AD60" i="4" s="1"/>
  <c r="AD61" i="4" s="1"/>
  <c r="AD62" i="4" s="1"/>
  <c r="AD63" i="4" s="1"/>
  <c r="AD64" i="4" s="1"/>
  <c r="AD65" i="4" s="1"/>
  <c r="J8" i="3"/>
  <c r="AF29" i="4" s="1"/>
  <c r="J18" i="3"/>
  <c r="AF39" i="4" s="1"/>
  <c r="J17" i="3"/>
  <c r="AF38" i="4" s="1"/>
  <c r="J16" i="3"/>
  <c r="AF37" i="4" s="1"/>
  <c r="J14" i="3"/>
  <c r="AF35" i="4" s="1"/>
  <c r="J12" i="3"/>
  <c r="AF33" i="4" s="1"/>
  <c r="AF32" i="4"/>
  <c r="J9" i="3"/>
  <c r="AF30" i="4" s="1"/>
  <c r="J5" i="3"/>
  <c r="AF26" i="4" s="1"/>
  <c r="J4" i="3"/>
  <c r="AF25" i="4" s="1"/>
  <c r="AF34" i="4"/>
  <c r="AE55" i="4" l="1"/>
  <c r="H12" i="4"/>
  <c r="J12" i="4" s="1"/>
  <c r="H4" i="4"/>
  <c r="J4" i="4" s="1"/>
  <c r="L4" i="4" s="1"/>
  <c r="N4" i="4" s="1"/>
  <c r="P4" i="4" s="1"/>
  <c r="R4" i="4" s="1"/>
  <c r="H8" i="4"/>
  <c r="J8" i="4" s="1"/>
  <c r="P8" i="4" s="1"/>
  <c r="R8" i="4" s="1"/>
  <c r="T8" i="4" s="1"/>
  <c r="V8" i="4" s="1"/>
  <c r="X8" i="4" s="1"/>
  <c r="Z8" i="4" s="1"/>
  <c r="D35" i="9"/>
  <c r="C37" i="9" s="1"/>
  <c r="E35" i="9"/>
  <c r="C38" i="9" s="1"/>
  <c r="U10" i="9"/>
  <c r="AC10" i="9"/>
  <c r="P6" i="9"/>
  <c r="Q4" i="9" s="1"/>
  <c r="AK10" i="9"/>
  <c r="D35" i="7"/>
  <c r="C37" i="7" s="1"/>
  <c r="E35" i="7"/>
  <c r="C38" i="7" s="1"/>
  <c r="P6" i="7"/>
  <c r="Q4" i="7" s="1"/>
  <c r="AC56" i="4"/>
  <c r="X12" i="4" l="1"/>
  <c r="Z12" i="4" s="1"/>
  <c r="AB12" i="4" s="1"/>
  <c r="AD12" i="4" s="1"/>
  <c r="L12" i="4"/>
  <c r="N12" i="4" s="1"/>
  <c r="C40" i="9"/>
  <c r="T8" i="9"/>
  <c r="V8" i="9" s="1"/>
  <c r="AB8" i="9" s="1"/>
  <c r="AD8" i="9" s="1"/>
  <c r="T4" i="9"/>
  <c r="V4" i="9" s="1"/>
  <c r="X4" i="9" s="1"/>
  <c r="Z4" i="9" s="1"/>
  <c r="AB4" i="9" s="1"/>
  <c r="AD4" i="9" s="1"/>
  <c r="T12" i="9"/>
  <c r="V12" i="9" s="1"/>
  <c r="I28" i="9"/>
  <c r="I31" i="9"/>
  <c r="I27" i="9"/>
  <c r="I30" i="9"/>
  <c r="I26" i="9"/>
  <c r="I33" i="9"/>
  <c r="I29" i="9"/>
  <c r="I32" i="9"/>
  <c r="T12" i="7"/>
  <c r="V12" i="7" s="1"/>
  <c r="T8" i="7"/>
  <c r="V8" i="7" s="1"/>
  <c r="AB8" i="7" s="1"/>
  <c r="AD8" i="7" s="1"/>
  <c r="T4" i="7"/>
  <c r="V4" i="7" s="1"/>
  <c r="X4" i="7" s="1"/>
  <c r="Z4" i="7" s="1"/>
  <c r="AB4" i="7" s="1"/>
  <c r="AD4" i="7" s="1"/>
  <c r="I31" i="7"/>
  <c r="I27" i="7"/>
  <c r="I33" i="7"/>
  <c r="I32" i="7"/>
  <c r="I26" i="7"/>
  <c r="I30" i="7"/>
  <c r="I28" i="7"/>
  <c r="I29" i="7"/>
  <c r="C40" i="7"/>
  <c r="AC57" i="4"/>
  <c r="AB8" i="4" l="1"/>
  <c r="AD8" i="4" s="1"/>
  <c r="AF5" i="4" s="1"/>
  <c r="AH5" i="4" s="1"/>
  <c r="AF11" i="4" s="1"/>
  <c r="AH11" i="4" s="1"/>
  <c r="AH13" i="4" s="1"/>
  <c r="AH12" i="4" s="1"/>
  <c r="AJ12" i="9"/>
  <c r="AL12" i="9" s="1"/>
  <c r="AN12" i="9" s="1"/>
  <c r="AP12" i="9" s="1"/>
  <c r="X12" i="9"/>
  <c r="Z12" i="9" s="1"/>
  <c r="AN8" i="9" s="1"/>
  <c r="AP8" i="9" s="1"/>
  <c r="AR5" i="9" s="1"/>
  <c r="AT5" i="9" s="1"/>
  <c r="AR11" i="9" s="1"/>
  <c r="AT11" i="9" s="1"/>
  <c r="AT13" i="9" s="1"/>
  <c r="AF8" i="9"/>
  <c r="AH8" i="9" s="1"/>
  <c r="AJ8" i="9" s="1"/>
  <c r="AL8" i="9" s="1"/>
  <c r="AF8" i="7"/>
  <c r="AH8" i="7" s="1"/>
  <c r="AJ8" i="7" s="1"/>
  <c r="AL8" i="7" s="1"/>
  <c r="AJ12" i="7"/>
  <c r="AL12" i="7" s="1"/>
  <c r="AN12" i="7" s="1"/>
  <c r="AP12" i="7" s="1"/>
  <c r="X12" i="7"/>
  <c r="Z12" i="7" s="1"/>
  <c r="AN8" i="7" s="1"/>
  <c r="AP8" i="7" s="1"/>
  <c r="AC58" i="4"/>
  <c r="AE57" i="4"/>
  <c r="AF13" i="4" l="1"/>
  <c r="AF12" i="4" s="1"/>
  <c r="AR13" i="9"/>
  <c r="AT12" i="9"/>
  <c r="AR5" i="7"/>
  <c r="AT5" i="7" s="1"/>
  <c r="AR11" i="7" s="1"/>
  <c r="AT11" i="7" s="1"/>
  <c r="AT13" i="7" s="1"/>
  <c r="AE58" i="4"/>
  <c r="AC59" i="4"/>
  <c r="U6" i="3"/>
  <c r="U10" i="3"/>
  <c r="Y14" i="3"/>
  <c r="Y6" i="3"/>
  <c r="AG10" i="3"/>
  <c r="AK10" i="3"/>
  <c r="AK14" i="3"/>
  <c r="AO14" i="3"/>
  <c r="AO10" i="3"/>
  <c r="P6" i="3"/>
  <c r="Q4" i="3" s="1"/>
  <c r="AC10" i="3"/>
  <c r="AC6" i="3"/>
  <c r="U14" i="3"/>
  <c r="C43" i="3"/>
  <c r="K5" i="3"/>
  <c r="K6" i="3"/>
  <c r="K7" i="3"/>
  <c r="K8" i="3"/>
  <c r="K9" i="3"/>
  <c r="K10" i="3"/>
  <c r="K11" i="3"/>
  <c r="K12" i="3"/>
  <c r="K13" i="3"/>
  <c r="K14" i="3"/>
  <c r="K15" i="3"/>
  <c r="K16" i="3"/>
  <c r="K17" i="3"/>
  <c r="K18" i="3"/>
  <c r="AH7" i="4" l="1"/>
  <c r="AF7" i="4" s="1"/>
  <c r="AR12" i="9"/>
  <c r="AT7" i="9"/>
  <c r="AT12" i="7"/>
  <c r="AR13" i="7"/>
  <c r="AC60" i="4"/>
  <c r="AE59" i="4"/>
  <c r="T4" i="3"/>
  <c r="V4" i="3" s="1"/>
  <c r="X4" i="3" s="1"/>
  <c r="Z4" i="3" s="1"/>
  <c r="AB4" i="3" s="1"/>
  <c r="AD4" i="3" s="1"/>
  <c r="T12" i="3"/>
  <c r="V12" i="3" s="1"/>
  <c r="AJ12" i="3" s="1"/>
  <c r="AL12" i="3" s="1"/>
  <c r="AN12" i="3" s="1"/>
  <c r="AP12" i="3" s="1"/>
  <c r="T8" i="3"/>
  <c r="V8" i="3" s="1"/>
  <c r="AB8" i="3" s="1"/>
  <c r="AD8" i="3" s="1"/>
  <c r="AF8" i="3" s="1"/>
  <c r="AH8" i="3" s="1"/>
  <c r="AJ8" i="3" s="1"/>
  <c r="AL8" i="3" s="1"/>
  <c r="E32" i="3"/>
  <c r="E31" i="3"/>
  <c r="E30" i="3"/>
  <c r="E29" i="3"/>
  <c r="D32" i="3"/>
  <c r="D31" i="3"/>
  <c r="D30" i="3"/>
  <c r="D29" i="3"/>
  <c r="E33" i="3"/>
  <c r="K4" i="3"/>
  <c r="E28" i="3" s="1"/>
  <c r="D28" i="3"/>
  <c r="N25" i="2"/>
  <c r="N24" i="2"/>
  <c r="N23" i="2"/>
  <c r="N22" i="2"/>
  <c r="N21" i="2"/>
  <c r="N20" i="2"/>
  <c r="N19" i="2"/>
  <c r="N18" i="2"/>
  <c r="O4" i="2"/>
  <c r="N4" i="2"/>
  <c r="N9" i="2" s="1"/>
  <c r="K31" i="2"/>
  <c r="K30" i="2"/>
  <c r="K29" i="2"/>
  <c r="K28" i="2"/>
  <c r="K27" i="2"/>
  <c r="K26" i="2"/>
  <c r="K25" i="2"/>
  <c r="K24" i="2"/>
  <c r="K23" i="2"/>
  <c r="K22" i="2"/>
  <c r="K21" i="2"/>
  <c r="K19" i="2"/>
  <c r="K18" i="2"/>
  <c r="K17" i="2"/>
  <c r="K16" i="2"/>
  <c r="K15" i="2"/>
  <c r="K13" i="2"/>
  <c r="K12" i="2"/>
  <c r="K10" i="2"/>
  <c r="K9" i="2"/>
  <c r="K7" i="2"/>
  <c r="K6" i="2"/>
  <c r="K5" i="2"/>
  <c r="K4" i="2"/>
  <c r="J31" i="2"/>
  <c r="J30" i="2"/>
  <c r="J29" i="2"/>
  <c r="J28" i="2"/>
  <c r="J27" i="2"/>
  <c r="J26" i="2"/>
  <c r="J25" i="2"/>
  <c r="J24" i="2"/>
  <c r="J23" i="2"/>
  <c r="J22" i="2"/>
  <c r="J21" i="2"/>
  <c r="J19" i="2"/>
  <c r="J18" i="2"/>
  <c r="J17" i="2"/>
  <c r="J16" i="2"/>
  <c r="J15" i="2"/>
  <c r="J13" i="2"/>
  <c r="J12" i="2"/>
  <c r="J10" i="2"/>
  <c r="J9" i="2"/>
  <c r="J7" i="2"/>
  <c r="J6" i="2"/>
  <c r="J5" i="2"/>
  <c r="J4" i="2"/>
  <c r="AH6" i="4" l="1"/>
  <c r="Z10" i="4"/>
  <c r="AF6" i="4"/>
  <c r="AD10" i="4"/>
  <c r="AT6" i="9"/>
  <c r="AR7" i="9"/>
  <c r="AT7" i="7"/>
  <c r="AR12" i="7"/>
  <c r="AE60" i="4"/>
  <c r="AC61" i="4"/>
  <c r="X12" i="3"/>
  <c r="Z12" i="3" s="1"/>
  <c r="AN8" i="3" s="1"/>
  <c r="AP8" i="3" s="1"/>
  <c r="AR5" i="3" s="1"/>
  <c r="D34" i="3"/>
  <c r="E34" i="3"/>
  <c r="E35" i="3" s="1"/>
  <c r="C38" i="3" s="1"/>
  <c r="D33" i="3"/>
  <c r="AB10" i="4" l="1"/>
  <c r="N14" i="4" s="1"/>
  <c r="N13" i="4" s="1"/>
  <c r="AD9" i="4"/>
  <c r="Z9" i="4"/>
  <c r="X10" i="4"/>
  <c r="AR6" i="9"/>
  <c r="AP10" i="9"/>
  <c r="AL10" i="9"/>
  <c r="AT6" i="7"/>
  <c r="AR7" i="7"/>
  <c r="AE61" i="4"/>
  <c r="AC62" i="4"/>
  <c r="AT5" i="3"/>
  <c r="AR11" i="3" s="1"/>
  <c r="AT11" i="3" s="1"/>
  <c r="AT13" i="3" s="1"/>
  <c r="I32" i="3"/>
  <c r="I30" i="3"/>
  <c r="I31" i="3"/>
  <c r="I33" i="3"/>
  <c r="I27" i="3"/>
  <c r="I28" i="3"/>
  <c r="I29" i="3"/>
  <c r="I26" i="3"/>
  <c r="D35" i="3"/>
  <c r="C37" i="3" s="1"/>
  <c r="C40" i="3" s="1"/>
  <c r="V10" i="4" l="1"/>
  <c r="X9" i="4"/>
  <c r="AD14" i="4"/>
  <c r="AB9" i="4"/>
  <c r="R6" i="4"/>
  <c r="P6" i="4" s="1"/>
  <c r="P5" i="4" s="1"/>
  <c r="AP9" i="9"/>
  <c r="AN10" i="9"/>
  <c r="AJ10" i="9"/>
  <c r="AL9" i="9"/>
  <c r="AR6" i="7"/>
  <c r="AP10" i="7"/>
  <c r="AL10" i="7"/>
  <c r="AE62" i="4"/>
  <c r="AC63" i="4"/>
  <c r="AR13" i="3"/>
  <c r="AT12" i="3"/>
  <c r="R5" i="4" l="1"/>
  <c r="L14" i="4"/>
  <c r="L13" i="4" s="1"/>
  <c r="AB14" i="4"/>
  <c r="AD13" i="4"/>
  <c r="T10" i="4"/>
  <c r="V9" i="4"/>
  <c r="Z14" i="9"/>
  <c r="AP14" i="9"/>
  <c r="AN9" i="9"/>
  <c r="AD6" i="9"/>
  <c r="AJ9" i="9"/>
  <c r="AH10" i="9"/>
  <c r="AJ10" i="7"/>
  <c r="AL9" i="7"/>
  <c r="AP9" i="7"/>
  <c r="AN10" i="7"/>
  <c r="AE63" i="4"/>
  <c r="AC64" i="4"/>
  <c r="AT7" i="3"/>
  <c r="AR7" i="3" s="1"/>
  <c r="AR6" i="3" s="1"/>
  <c r="AR12" i="3"/>
  <c r="R10" i="4" l="1"/>
  <c r="P10" i="4" s="1"/>
  <c r="P9" i="4" s="1"/>
  <c r="T9" i="4"/>
  <c r="Z14" i="4"/>
  <c r="AB13" i="4"/>
  <c r="N6" i="4"/>
  <c r="AD5" i="9"/>
  <c r="AB6" i="9"/>
  <c r="AP13" i="9"/>
  <c r="AN14" i="9"/>
  <c r="X14" i="9"/>
  <c r="X13" i="9" s="1"/>
  <c r="Z13" i="9"/>
  <c r="AF10" i="9"/>
  <c r="AH9" i="9"/>
  <c r="AP14" i="7"/>
  <c r="AN9" i="7"/>
  <c r="Z14" i="7"/>
  <c r="AD6" i="7"/>
  <c r="AH10" i="7"/>
  <c r="AJ9" i="7"/>
  <c r="AT6" i="3"/>
  <c r="AE64" i="4"/>
  <c r="AC65" i="4"/>
  <c r="AL10" i="3"/>
  <c r="AP10" i="3"/>
  <c r="N5" i="4" l="1"/>
  <c r="L6" i="4"/>
  <c r="R9" i="4"/>
  <c r="X14" i="4"/>
  <c r="Z13" i="4"/>
  <c r="AN13" i="9"/>
  <c r="AL14" i="9"/>
  <c r="AB5" i="9"/>
  <c r="Z6" i="9"/>
  <c r="AD10" i="9"/>
  <c r="AF9" i="9"/>
  <c r="AF10" i="7"/>
  <c r="AH9" i="7"/>
  <c r="AD5" i="7"/>
  <c r="AB6" i="7"/>
  <c r="X14" i="7"/>
  <c r="X13" i="7" s="1"/>
  <c r="Z13" i="7"/>
  <c r="AP13" i="7"/>
  <c r="AN14" i="7"/>
  <c r="AE65" i="4"/>
  <c r="AN10" i="3"/>
  <c r="AP9" i="3"/>
  <c r="AJ10" i="3"/>
  <c r="AL9" i="3"/>
  <c r="L5" i="4" l="1"/>
  <c r="J6" i="4"/>
  <c r="J14" i="4"/>
  <c r="X13" i="4"/>
  <c r="J10" i="4"/>
  <c r="Z5" i="9"/>
  <c r="X6" i="9"/>
  <c r="AB10" i="9"/>
  <c r="AD9" i="9"/>
  <c r="AL13" i="9"/>
  <c r="AJ14" i="9"/>
  <c r="AB5" i="7"/>
  <c r="Z6" i="7"/>
  <c r="AN13" i="7"/>
  <c r="AL14" i="7"/>
  <c r="AF9" i="7"/>
  <c r="AD10" i="7"/>
  <c r="AH10" i="3"/>
  <c r="AF10" i="3" s="1"/>
  <c r="AJ9" i="3"/>
  <c r="AP14" i="3"/>
  <c r="AP13" i="3" s="1"/>
  <c r="AN9" i="3"/>
  <c r="AD6" i="3"/>
  <c r="AB6" i="3" s="1"/>
  <c r="Z14" i="3"/>
  <c r="X14" i="3" s="1"/>
  <c r="X13" i="3" s="1"/>
  <c r="AN14" i="3" l="1"/>
  <c r="J5" i="4"/>
  <c r="H6" i="4"/>
  <c r="J9" i="4"/>
  <c r="H10" i="4"/>
  <c r="H9" i="4" s="1"/>
  <c r="H14" i="4"/>
  <c r="H13" i="4" s="1"/>
  <c r="J13" i="4"/>
  <c r="X5" i="9"/>
  <c r="V6" i="9"/>
  <c r="V14" i="9"/>
  <c r="AJ13" i="9"/>
  <c r="AB9" i="9"/>
  <c r="V10" i="9"/>
  <c r="AD9" i="7"/>
  <c r="AB10" i="7"/>
  <c r="AJ14" i="7"/>
  <c r="AL13" i="7"/>
  <c r="X6" i="7"/>
  <c r="Z5" i="7"/>
  <c r="AH9" i="3"/>
  <c r="AL14" i="3"/>
  <c r="AL13" i="3" s="1"/>
  <c r="AN13" i="3"/>
  <c r="Z6" i="3"/>
  <c r="X6" i="3" s="1"/>
  <c r="AB5" i="3"/>
  <c r="AD10" i="3"/>
  <c r="AF9" i="3"/>
  <c r="Z13" i="3"/>
  <c r="AD5" i="3"/>
  <c r="H5" i="4" l="1"/>
  <c r="E6" i="4"/>
  <c r="T10" i="9"/>
  <c r="T9" i="9" s="1"/>
  <c r="V9" i="9"/>
  <c r="T14" i="9"/>
  <c r="T13" i="9" s="1"/>
  <c r="V13" i="9"/>
  <c r="T6" i="9"/>
  <c r="V5" i="9"/>
  <c r="X5" i="7"/>
  <c r="V6" i="7"/>
  <c r="V14" i="7"/>
  <c r="AJ13" i="7"/>
  <c r="V10" i="7"/>
  <c r="AB9" i="7"/>
  <c r="AJ14" i="3"/>
  <c r="V14" i="3" s="1"/>
  <c r="V13" i="3" s="1"/>
  <c r="Z5" i="3"/>
  <c r="V6" i="3"/>
  <c r="T6" i="3" s="1"/>
  <c r="T5" i="3" s="1"/>
  <c r="X5" i="3"/>
  <c r="AB10" i="3"/>
  <c r="AD9" i="3"/>
  <c r="E5" i="4" l="1"/>
  <c r="C6" i="4"/>
  <c r="C5" i="4" s="1"/>
  <c r="Q6" i="9"/>
  <c r="T5" i="9"/>
  <c r="V9" i="7"/>
  <c r="T10" i="7"/>
  <c r="T9" i="7" s="1"/>
  <c r="T14" i="7"/>
  <c r="T13" i="7" s="1"/>
  <c r="V13" i="7"/>
  <c r="T6" i="7"/>
  <c r="V5" i="7"/>
  <c r="AJ13" i="3"/>
  <c r="V5" i="3"/>
  <c r="T14" i="3"/>
  <c r="T13" i="3" s="1"/>
  <c r="V10" i="3"/>
  <c r="AB9" i="3"/>
  <c r="O6" i="9" l="1"/>
  <c r="O5" i="9" s="1"/>
  <c r="Q5" i="9"/>
  <c r="Q6" i="7"/>
  <c r="T5" i="7"/>
  <c r="T10" i="3"/>
  <c r="V9" i="3"/>
  <c r="O6" i="7" l="1"/>
  <c r="O5" i="7" s="1"/>
  <c r="Q5" i="7"/>
  <c r="T9" i="3"/>
  <c r="Q6" i="3"/>
  <c r="O6" i="3" l="1"/>
  <c r="O5" i="3" s="1"/>
  <c r="Q5" i="3"/>
</calcChain>
</file>

<file path=xl/sharedStrings.xml><?xml version="1.0" encoding="utf-8"?>
<sst xmlns="http://schemas.openxmlformats.org/spreadsheetml/2006/main" count="630" uniqueCount="172">
  <si>
    <t>Activity code</t>
  </si>
  <si>
    <t>Activity description</t>
  </si>
  <si>
    <t>predecessors</t>
  </si>
  <si>
    <t>A</t>
  </si>
  <si>
    <t>-</t>
  </si>
  <si>
    <t>B</t>
  </si>
  <si>
    <t>C</t>
  </si>
  <si>
    <t>D</t>
  </si>
  <si>
    <t>E</t>
  </si>
  <si>
    <t>F</t>
  </si>
  <si>
    <t>G</t>
  </si>
  <si>
    <t>H</t>
  </si>
  <si>
    <t>I</t>
  </si>
  <si>
    <t>optimistic</t>
  </si>
  <si>
    <t>Most likely</t>
  </si>
  <si>
    <t>Pessimistic</t>
  </si>
  <si>
    <t>T(e)</t>
  </si>
  <si>
    <t>variance</t>
  </si>
  <si>
    <t>critical activities</t>
  </si>
  <si>
    <t>project standard deviation</t>
  </si>
  <si>
    <t>Expected project duration</t>
  </si>
  <si>
    <t xml:space="preserve">chance </t>
  </si>
  <si>
    <t xml:space="preserve">Project Average duration must be </t>
  </si>
  <si>
    <t>chance of this project</t>
  </si>
  <si>
    <t>Time in Workdays</t>
  </si>
  <si>
    <t>Task Name</t>
  </si>
  <si>
    <t>Optimistic Dur.</t>
  </si>
  <si>
    <t>Most Likely Dur.</t>
  </si>
  <si>
    <t>Pessimistic Dur.</t>
  </si>
  <si>
    <t>Immediate Predecessor</t>
  </si>
  <si>
    <t>Critical Path</t>
  </si>
  <si>
    <t>AET DATA CENTER MIGRATION</t>
  </si>
  <si>
    <t xml:space="preserve">  Team meeting</t>
  </si>
  <si>
    <t>✓</t>
  </si>
  <si>
    <t xml:space="preserve">  Hire contractors</t>
  </si>
  <si>
    <t xml:space="preserve">  Network design</t>
  </si>
  <si>
    <t>Ventilation system</t>
  </si>
  <si>
    <t>—</t>
  </si>
  <si>
    <t xml:space="preserve">  Order ventilation system</t>
  </si>
  <si>
    <t xml:space="preserve">  Install ventilation system</t>
  </si>
  <si>
    <t>New racks</t>
  </si>
  <si>
    <t xml:space="preserve">  Order new racks</t>
  </si>
  <si>
    <t xml:space="preserve">  Install racks</t>
  </si>
  <si>
    <t>Power supplies and cables</t>
  </si>
  <si>
    <t xml:space="preserve">  Order power supplies &amp; cables</t>
  </si>
  <si>
    <t xml:space="preserve">  Install power supplies</t>
  </si>
  <si>
    <t>12, 16</t>
  </si>
  <si>
    <t xml:space="preserve">  Install cables</t>
  </si>
  <si>
    <t xml:space="preserve">  Renovation of data centre</t>
  </si>
  <si>
    <t>3, 4</t>
  </si>
  <si>
    <t xml:space="preserve">  City inspection</t>
  </si>
  <si>
    <t>3, 7, 10</t>
  </si>
  <si>
    <t>Switchover Meetings</t>
  </si>
  <si>
    <t xml:space="preserve">  Facilities</t>
  </si>
  <si>
    <t xml:space="preserve">  Operations/systems</t>
  </si>
  <si>
    <t xml:space="preserve">  Operations/telecommunications</t>
  </si>
  <si>
    <t xml:space="preserve">  Systems &amp; applications</t>
  </si>
  <si>
    <t xml:space="preserve">  Customer service</t>
  </si>
  <si>
    <t>Power check</t>
  </si>
  <si>
    <t>13, 14, 15</t>
  </si>
  <si>
    <t>Install test servers</t>
  </si>
  <si>
    <t>2, 3, 18, 19, 20, 21</t>
  </si>
  <si>
    <t>Management safety check</t>
  </si>
  <si>
    <t>7, 23, 24</t>
  </si>
  <si>
    <t>Primary systems check</t>
  </si>
  <si>
    <t>Set date for move</t>
  </si>
  <si>
    <t>Complete move</t>
  </si>
  <si>
    <t>#</t>
  </si>
  <si>
    <t>Scheduled duration</t>
  </si>
  <si>
    <t>93 percent chance of completion within 68 days.</t>
  </si>
  <si>
    <t>Probablity</t>
  </si>
  <si>
    <t>t(e)</t>
  </si>
  <si>
    <t>tc(e)</t>
  </si>
  <si>
    <t>SCHEDULED PROJECT DURATION</t>
  </si>
  <si>
    <t>SUM</t>
  </si>
  <si>
    <t>1.      Based on these estimates and the resultant expected project duration of 69 days, the executive committee wants to know what is the probability of completing the project before a scheduled time (TS) of 68 days?</t>
  </si>
  <si>
    <t>2.    	The significance of this project has the executive committee very concerned. The committee has decided that more analysis of the duration of each activity is needed. Prior to conducting that effort, they asked Brian to calculate what the expected project duration would have to be to ensure a 93 percent chance of completion within 68 days.</t>
  </si>
  <si>
    <t>2, 8</t>
  </si>
  <si>
    <t>13, 10</t>
  </si>
  <si>
    <t>Initial Project Kick-Off</t>
  </si>
  <si>
    <t>Define Conference Themes &amp; Tracks</t>
  </si>
  <si>
    <t>Keynote Speaker Identification</t>
  </si>
  <si>
    <t>Venue Booking &amp; Contracting</t>
  </si>
  <si>
    <t>Hybrid Technical Setup</t>
  </si>
  <si>
    <t>Sponsorship Package Development</t>
  </si>
  <si>
    <t>Sponsor Outreach &amp; Negotiation</t>
  </si>
  <si>
    <t>Keynote Speaker Confirmation</t>
  </si>
  <si>
    <t>Marketing Plan Development</t>
  </si>
  <si>
    <t>Volunteer Recruitment &amp; Training</t>
  </si>
  <si>
    <t>On-Site Logistics Preparation</t>
  </si>
  <si>
    <t>Conference Delivery Day</t>
  </si>
  <si>
    <t>Promotional Campaign Execution</t>
  </si>
  <si>
    <t>Catering &amp; Layout Planning</t>
  </si>
  <si>
    <t>Post-Event Feedback &amp; Reporting</t>
  </si>
  <si>
    <t>5, 7, 12</t>
  </si>
  <si>
    <t>Activity Code</t>
  </si>
  <si>
    <t>Mean</t>
  </si>
  <si>
    <t>Probability</t>
  </si>
  <si>
    <t>Activity ID</t>
  </si>
  <si>
    <t>Slope ($)</t>
  </si>
  <si>
    <t>Max crash time</t>
  </si>
  <si>
    <t>Direct Cost</t>
  </si>
  <si>
    <t>Normal</t>
  </si>
  <si>
    <t>Crash</t>
  </si>
  <si>
    <t>Time</t>
  </si>
  <si>
    <t>Cost</t>
  </si>
  <si>
    <t>Path duration</t>
  </si>
  <si>
    <t>Project duration</t>
  </si>
  <si>
    <t>Crashed activities</t>
  </si>
  <si>
    <t>Crash cost</t>
  </si>
  <si>
    <t>direct cost</t>
  </si>
  <si>
    <t>Indirect cost</t>
  </si>
  <si>
    <t>Total cost</t>
  </si>
  <si>
    <t>Paths/Iteration</t>
  </si>
  <si>
    <t>I0</t>
  </si>
  <si>
    <t>I1</t>
  </si>
  <si>
    <t>I2</t>
  </si>
  <si>
    <t>I3</t>
  </si>
  <si>
    <t>I4</t>
  </si>
  <si>
    <t>I5</t>
  </si>
  <si>
    <t>I6</t>
  </si>
  <si>
    <t>I7</t>
  </si>
  <si>
    <t>Indirect Cost is</t>
  </si>
  <si>
    <t>with</t>
  </si>
  <si>
    <t>reduction for one time unit shorten</t>
  </si>
  <si>
    <t>1 (A)</t>
  </si>
  <si>
    <t>2 (B)</t>
  </si>
  <si>
    <t>3 (C )</t>
  </si>
  <si>
    <t>4 (D)</t>
  </si>
  <si>
    <t>5 (E )</t>
  </si>
  <si>
    <t>6 (F)</t>
  </si>
  <si>
    <t xml:space="preserve"> 7 (G)</t>
  </si>
  <si>
    <t>8 (H)</t>
  </si>
  <si>
    <t>9 (I)</t>
  </si>
  <si>
    <t>10( J)</t>
  </si>
  <si>
    <t>11 (K)</t>
  </si>
  <si>
    <t>12 (L)</t>
  </si>
  <si>
    <t>13 (M)</t>
  </si>
  <si>
    <t>14 (N)</t>
  </si>
  <si>
    <t>15 (O)</t>
  </si>
  <si>
    <t>J</t>
  </si>
  <si>
    <t>K</t>
  </si>
  <si>
    <t>L</t>
  </si>
  <si>
    <t>M</t>
  </si>
  <si>
    <t>N</t>
  </si>
  <si>
    <t>O</t>
  </si>
  <si>
    <t>ABFGMNO</t>
  </si>
  <si>
    <t>ABIJNO</t>
  </si>
  <si>
    <t>ACHIJNO</t>
  </si>
  <si>
    <t>ADEMNO</t>
  </si>
  <si>
    <t>ADKLMNO</t>
  </si>
  <si>
    <t>I8</t>
  </si>
  <si>
    <t>I9</t>
  </si>
  <si>
    <t>I10</t>
  </si>
  <si>
    <t>I11</t>
  </si>
  <si>
    <t>I12</t>
  </si>
  <si>
    <t>I13</t>
  </si>
  <si>
    <t>M, H</t>
  </si>
  <si>
    <t>I, L</t>
  </si>
  <si>
    <t>J, K</t>
  </si>
  <si>
    <t>F, J, M</t>
  </si>
  <si>
    <t>C, M</t>
  </si>
  <si>
    <t>H, D</t>
  </si>
  <si>
    <t>G, H, D</t>
  </si>
  <si>
    <t>G, O, D</t>
  </si>
  <si>
    <t>F, J</t>
  </si>
  <si>
    <t>G, C</t>
  </si>
  <si>
    <t>G, H, L</t>
  </si>
  <si>
    <t>B, H, L</t>
  </si>
  <si>
    <t>M, O, K</t>
  </si>
  <si>
    <t>B, H, K</t>
  </si>
  <si>
    <t>M, H,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</si>
</sst>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_-&quot;$&quot;* #,##0.00_-;\-&quot;$&quot;* #,##0.00_-;_-&quot;$&quot;* &quot;-&quot;??_-;_-@_-"/>
    <numFmt numFmtId="166" formatCode="_-* #,##0.00_-;\-* #,##0.00_-;_-* &quot;-&quot;??_-;_-@_-"/>
    <numFmt numFmtId="167" formatCode="_ * #,##0.00_ ;_ * \-#,##0.00_ ;_ * &quot;-&quot;??_ ;_ @_ "/>
    <numFmt numFmtId="168" formatCode="0.0"/>
    <numFmt numFmtId="169" formatCode="_-&quot;$&quot;* #,##0_-;\-&quot;$&quot;* #,##0_-;_-&quot;$&quot;* &quot;-&quot;??_-;_-@_-"/>
    <numFmt numFmtId="170" formatCode="#,##0\ [$€-1];[Red]\-#,##0\ [$€-1]"/>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14"/>
      <color theme="1"/>
      <name val="Times New Roman"/>
      <family val="1"/>
    </font>
    <font>
      <b/>
      <sz val="14"/>
      <color theme="1"/>
      <name val="Times New Roman"/>
      <family val="1"/>
    </font>
    <font>
      <sz val="14"/>
      <color theme="1"/>
      <name val="Segoe UI Symbol"/>
      <family val="2"/>
    </font>
    <font>
      <sz val="10"/>
      <color rgb="FF363636"/>
      <name val="Calibri"/>
      <family val="2"/>
      <scheme val="minor"/>
    </font>
    <font>
      <b/>
      <sz val="11"/>
      <color rgb="FF000000"/>
      <name val="Calibri"/>
      <family val="2"/>
      <scheme val="minor"/>
    </font>
    <font>
      <sz val="11"/>
      <color rgb="FF000000"/>
      <name val="Calibri"/>
      <family val="2"/>
      <scheme val="minor"/>
    </font>
    <font>
      <sz val="11"/>
      <color theme="0"/>
      <name val="Calibri"/>
      <family val="2"/>
      <scheme val="minor"/>
    </font>
    <font>
      <sz val="11"/>
      <color theme="0"/>
      <name val="Times New Roman"/>
      <family val="1"/>
    </font>
    <font>
      <b/>
      <sz val="18"/>
      <color theme="0"/>
      <name val="Calibri"/>
      <family val="2"/>
      <scheme val="minor"/>
    </font>
    <font>
      <b/>
      <sz val="20"/>
      <color theme="0"/>
      <name val="Calibri"/>
      <family val="2"/>
      <scheme val="minor"/>
    </font>
    <font>
      <sz val="20"/>
      <color theme="1"/>
      <name val="Calibri"/>
      <family val="2"/>
      <scheme val="minor"/>
    </font>
    <font>
      <b/>
      <sz val="11"/>
      <color rgb="FFFF0000"/>
      <name val="Times New Roman"/>
      <family val="1"/>
    </font>
    <font>
      <b/>
      <sz val="20"/>
      <color rgb="FFFF0000"/>
      <name val="Times New Roman"/>
      <family val="1"/>
    </font>
    <font>
      <sz val="11"/>
      <color rgb="FFFF0000"/>
      <name val="Calibri"/>
      <family val="2"/>
      <scheme val="minor"/>
    </font>
    <font>
      <sz val="10"/>
      <color theme="1"/>
      <name val="Calibri"/>
      <family val="2"/>
      <scheme val="minor"/>
    </font>
    <font>
      <sz val="16"/>
      <color rgb="FFFF0000"/>
      <name val="Calibri"/>
      <family val="2"/>
      <scheme val="minor"/>
    </font>
    <font>
      <sz val="12"/>
      <color theme="1"/>
      <name val="Calibri"/>
      <family val="2"/>
      <scheme val="minor"/>
    </font>
    <font>
      <sz val="16"/>
      <color rgb="FF7030A0"/>
      <name val="Calibri"/>
      <family val="2"/>
      <scheme val="minor"/>
    </font>
    <font>
      <sz val="12"/>
      <color rgb="FFFF0000"/>
      <name val="Calibri"/>
      <family val="2"/>
      <scheme val="minor"/>
    </font>
    <font>
      <sz val="16"/>
      <color rgb="FF00B050"/>
      <name val="Calibri"/>
      <family val="2"/>
      <scheme val="minor"/>
    </font>
    <font>
      <sz val="16"/>
      <color rgb="FF00B0F0"/>
      <name val="Calibri"/>
      <family val="2"/>
      <scheme val="minor"/>
    </font>
    <font>
      <sz val="16"/>
      <color rgb="FFFFC000"/>
      <name val="Calibri"/>
      <family val="2"/>
      <scheme val="minor"/>
    </font>
    <font>
      <sz val="16"/>
      <color rgb="FF002060"/>
      <name val="Calibri"/>
      <family val="2"/>
      <scheme val="minor"/>
    </font>
    <font>
      <sz val="8"/>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rgb="FFFFFF00"/>
        <bgColor indexed="64"/>
      </patternFill>
    </fill>
    <fill>
      <patternFill patternType="solid">
        <fgColor theme="0"/>
        <bgColor indexed="64"/>
      </patternFill>
    </fill>
  </fills>
  <borders count="39">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rgb="FFB1BBCC"/>
      </left>
      <right style="thin">
        <color rgb="FFB1BBCC"/>
      </right>
      <top style="thin">
        <color rgb="FFB1BBCC"/>
      </top>
      <bottom style="thin">
        <color rgb="FFB1BBCC"/>
      </bottom>
      <diagonal/>
    </border>
    <border>
      <left style="thin">
        <color theme="7" tint="0.59999389629810485"/>
      </left>
      <right style="thin">
        <color theme="7" tint="0.59999389629810485"/>
      </right>
      <top style="thin">
        <color theme="7" tint="0.59999389629810485"/>
      </top>
      <bottom style="thin">
        <color theme="7" tint="0.59999389629810485"/>
      </bottom>
      <diagonal/>
    </border>
    <border>
      <left/>
      <right style="thin">
        <color theme="7" tint="0.59999389629810485"/>
      </right>
      <top style="thin">
        <color theme="7" tint="0.59999389629810485"/>
      </top>
      <bottom style="thin">
        <color theme="7" tint="0.59999389629810485"/>
      </bottom>
      <diagonal/>
    </border>
    <border>
      <left/>
      <right style="thin">
        <color theme="7" tint="0.59999389629810485"/>
      </right>
      <top/>
      <bottom style="thin">
        <color theme="7" tint="0.59999389629810485"/>
      </bottom>
      <diagonal/>
    </border>
    <border>
      <left style="thin">
        <color theme="7" tint="0.59999389629810485"/>
      </left>
      <right style="thin">
        <color theme="7" tint="0.59999389629810485"/>
      </right>
      <top/>
      <bottom style="thin">
        <color theme="7" tint="0.59999389629810485"/>
      </bottom>
      <diagonal/>
    </border>
    <border>
      <left style="thin">
        <color theme="7" tint="0.59999389629810485"/>
      </left>
      <right/>
      <top style="thin">
        <color theme="7" tint="0.59999389629810485"/>
      </top>
      <bottom style="thin">
        <color theme="7" tint="0.59999389629810485"/>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185">
    <xf numFmtId="0" fontId="0" fillId="0" borderId="0" xfId="0"/>
    <xf numFmtId="0" fontId="0" fillId="0" borderId="0" xfId="0" applyAlignment="1">
      <alignment wrapText="1"/>
    </xf>
    <xf numFmtId="0" fontId="0" fillId="0" borderId="0" xfId="0" applyAlignment="1">
      <alignment horizontal="center" vertical="center"/>
    </xf>
    <xf numFmtId="0" fontId="3" fillId="0" borderId="0" xfId="0" applyFont="1" applyAlignment="1">
      <alignment horizontal="center" vertical="center" wrapText="1"/>
    </xf>
    <xf numFmtId="0" fontId="3" fillId="0" borderId="2" xfId="0" applyFont="1" applyBorder="1" applyAlignment="1">
      <alignment horizontal="left" vertical="center" wrapText="1"/>
    </xf>
    <xf numFmtId="2" fontId="3" fillId="0" borderId="0" xfId="0" applyNumberFormat="1" applyFont="1" applyAlignment="1">
      <alignment horizontal="center" vertical="center" wrapText="1"/>
    </xf>
    <xf numFmtId="0" fontId="3" fillId="0" borderId="0" xfId="0" applyFon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applyAlignment="1">
      <alignment horizontal="center" vertical="center"/>
    </xf>
    <xf numFmtId="0" fontId="3" fillId="0" borderId="2" xfId="0" applyFont="1" applyBorder="1" applyAlignment="1">
      <alignment horizontal="justify"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5" fillId="0" borderId="2" xfId="0" applyFont="1" applyBorder="1" applyAlignment="1">
      <alignment horizontal="justify" vertical="center" wrapText="1"/>
    </xf>
    <xf numFmtId="0" fontId="7" fillId="0" borderId="2" xfId="0" applyFont="1" applyBorder="1" applyAlignment="1">
      <alignment horizontal="justify" vertical="center" wrapText="1"/>
    </xf>
    <xf numFmtId="0" fontId="6" fillId="0" borderId="2" xfId="0" applyFont="1" applyBorder="1" applyAlignment="1">
      <alignment horizontal="justify" vertical="center" wrapText="1"/>
    </xf>
    <xf numFmtId="0" fontId="4" fillId="3" borderId="2" xfId="0" applyFont="1" applyFill="1" applyBorder="1" applyAlignment="1">
      <alignment horizontal="justify" vertical="center" wrapText="1"/>
    </xf>
    <xf numFmtId="168" fontId="0" fillId="0" borderId="2" xfId="0" applyNumberFormat="1" applyBorder="1" applyAlignment="1">
      <alignment horizontal="center" vertical="center"/>
    </xf>
    <xf numFmtId="0" fontId="0" fillId="0" borderId="2" xfId="0" applyBorder="1"/>
    <xf numFmtId="0" fontId="5" fillId="0" borderId="2" xfId="0" applyFont="1" applyBorder="1" applyAlignment="1">
      <alignment horizontal="center" vertical="center" wrapText="1"/>
    </xf>
    <xf numFmtId="0" fontId="4" fillId="0" borderId="2" xfId="0" applyFont="1" applyBorder="1" applyAlignment="1">
      <alignment vertical="center" wrapText="1"/>
    </xf>
    <xf numFmtId="1" fontId="2" fillId="3" borderId="2" xfId="0" applyNumberFormat="1" applyFont="1" applyFill="1" applyBorder="1" applyAlignment="1">
      <alignment horizontal="center" vertical="center" wrapText="1"/>
    </xf>
    <xf numFmtId="2" fontId="2" fillId="3" borderId="2"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0" fontId="2" fillId="0" borderId="0" xfId="0" applyFont="1"/>
    <xf numFmtId="0" fontId="4" fillId="0" borderId="0" xfId="0" applyFont="1" applyAlignment="1">
      <alignment horizontal="left" vertical="center"/>
    </xf>
    <xf numFmtId="0" fontId="2" fillId="0" borderId="2" xfId="0" applyFont="1" applyBorder="1" applyAlignment="1">
      <alignment horizontal="left"/>
    </xf>
    <xf numFmtId="0" fontId="4" fillId="3" borderId="2" xfId="0" applyFont="1" applyFill="1" applyBorder="1" applyAlignment="1">
      <alignment horizontal="center" vertical="center" wrapText="1"/>
    </xf>
    <xf numFmtId="9" fontId="2" fillId="3" borderId="2" xfId="1" applyFont="1" applyFill="1" applyBorder="1" applyAlignment="1">
      <alignment horizontal="center" vertical="center" wrapText="1"/>
    </xf>
    <xf numFmtId="0" fontId="4" fillId="3" borderId="2" xfId="0" applyFont="1" applyFill="1" applyBorder="1" applyAlignment="1">
      <alignment horizontal="center" vertical="center"/>
    </xf>
    <xf numFmtId="0" fontId="8" fillId="0" borderId="23" xfId="0" applyFont="1" applyBorder="1" applyAlignment="1">
      <alignment vertical="center" wrapText="1"/>
    </xf>
    <xf numFmtId="0" fontId="9" fillId="0" borderId="23" xfId="0" applyFont="1" applyBorder="1" applyAlignment="1">
      <alignment vertical="center" wrapText="1"/>
    </xf>
    <xf numFmtId="0" fontId="10" fillId="0" borderId="23" xfId="0" applyFont="1" applyBorder="1" applyAlignment="1">
      <alignment vertical="center" wrapText="1"/>
    </xf>
    <xf numFmtId="168" fontId="3" fillId="0" borderId="0" xfId="0" applyNumberFormat="1" applyFont="1" applyAlignment="1">
      <alignment horizontal="center" vertical="center" wrapText="1"/>
    </xf>
    <xf numFmtId="0" fontId="0" fillId="0" borderId="21" xfId="0" applyBorder="1" applyAlignment="1">
      <alignment horizontal="center" vertical="center"/>
    </xf>
    <xf numFmtId="0" fontId="0" fillId="0" borderId="3" xfId="0" applyBorder="1"/>
    <xf numFmtId="1" fontId="0" fillId="0" borderId="2" xfId="0" applyNumberFormat="1" applyBorder="1" applyAlignment="1">
      <alignment horizontal="center" vertical="center"/>
    </xf>
    <xf numFmtId="0" fontId="3" fillId="0" borderId="2" xfId="0" applyFont="1" applyBorder="1" applyAlignment="1">
      <alignment horizontal="center" vertical="center" wrapText="1"/>
    </xf>
    <xf numFmtId="0" fontId="12" fillId="4" borderId="24"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1" fillId="0" borderId="0" xfId="0" applyFont="1"/>
    <xf numFmtId="0" fontId="11" fillId="0" borderId="0" xfId="0" applyFont="1" applyAlignment="1">
      <alignment wrapText="1"/>
    </xf>
    <xf numFmtId="2" fontId="13" fillId="4" borderId="25" xfId="0" applyNumberFormat="1" applyFont="1" applyFill="1" applyBorder="1" applyAlignment="1">
      <alignment horizontal="center" vertical="center" wrapText="1"/>
    </xf>
    <xf numFmtId="2" fontId="13" fillId="4" borderId="26" xfId="0" applyNumberFormat="1" applyFont="1" applyFill="1" applyBorder="1" applyAlignment="1">
      <alignment horizontal="center" vertical="center" wrapText="1"/>
    </xf>
    <xf numFmtId="0" fontId="15" fillId="0" borderId="0" xfId="0" applyFont="1" applyAlignment="1">
      <alignment horizontal="center" wrapText="1"/>
    </xf>
    <xf numFmtId="0" fontId="4" fillId="0" borderId="2" xfId="0" applyFont="1" applyBorder="1" applyAlignment="1">
      <alignment horizontal="left" vertical="center" wrapText="1"/>
    </xf>
    <xf numFmtId="9" fontId="2" fillId="3" borderId="2" xfId="1" applyFont="1" applyFill="1" applyBorder="1" applyAlignment="1">
      <alignment horizontal="center"/>
    </xf>
    <xf numFmtId="0" fontId="2" fillId="0" borderId="2" xfId="0" applyFont="1" applyBorder="1" applyAlignment="1">
      <alignment horizontal="center"/>
    </xf>
    <xf numFmtId="0" fontId="0" fillId="0" borderId="2" xfId="0" applyBorder="1" applyAlignment="1">
      <alignment horizontal="center"/>
    </xf>
    <xf numFmtId="9" fontId="0" fillId="0" borderId="2" xfId="1" applyFont="1" applyFill="1" applyBorder="1" applyAlignment="1">
      <alignment horizontal="center"/>
    </xf>
    <xf numFmtId="9" fontId="0" fillId="0" borderId="0" xfId="1" applyFont="1"/>
    <xf numFmtId="9" fontId="0" fillId="5" borderId="0" xfId="1" applyFont="1" applyFill="1"/>
    <xf numFmtId="0" fontId="3" fillId="0" borderId="0" xfId="0" applyFont="1" applyAlignment="1">
      <alignment horizontal="left" vertical="center" wrapText="1"/>
    </xf>
    <xf numFmtId="0" fontId="3" fillId="2" borderId="29"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3" fillId="3" borderId="32" xfId="0" applyFont="1" applyFill="1" applyBorder="1" applyAlignment="1">
      <alignment horizontal="center" vertical="center"/>
    </xf>
    <xf numFmtId="2" fontId="3" fillId="0" borderId="2" xfId="0" applyNumberFormat="1" applyFont="1" applyBorder="1" applyAlignment="1">
      <alignment horizontal="center" vertical="center" wrapText="1"/>
    </xf>
    <xf numFmtId="2" fontId="0" fillId="0" borderId="2" xfId="0" applyNumberFormat="1" applyBorder="1"/>
    <xf numFmtId="0" fontId="0" fillId="0" borderId="2" xfId="0" applyBorder="1" applyAlignment="1">
      <alignment horizontal="right"/>
    </xf>
    <xf numFmtId="0" fontId="3" fillId="0" borderId="0" xfId="0" applyFont="1" applyAlignment="1">
      <alignment horizontal="right" vertical="center" wrapText="1"/>
    </xf>
    <xf numFmtId="0" fontId="3" fillId="2" borderId="2" xfId="0" applyFont="1" applyFill="1" applyBorder="1" applyAlignment="1">
      <alignment horizontal="center" vertical="center" wrapText="1"/>
    </xf>
    <xf numFmtId="2" fontId="3" fillId="5" borderId="2" xfId="0" applyNumberFormat="1" applyFont="1" applyFill="1" applyBorder="1" applyAlignment="1">
      <alignment horizontal="center" vertical="center" wrapText="1"/>
    </xf>
    <xf numFmtId="9" fontId="13" fillId="4" borderId="28" xfId="1" applyFont="1" applyFill="1" applyBorder="1" applyAlignment="1">
      <alignment horizontal="center" vertical="center" wrapText="1"/>
    </xf>
    <xf numFmtId="9" fontId="14" fillId="4" borderId="28" xfId="0" applyNumberFormat="1" applyFont="1" applyFill="1" applyBorder="1" applyAlignment="1">
      <alignment horizontal="center" wrapText="1"/>
    </xf>
    <xf numFmtId="1" fontId="14" fillId="4" borderId="28"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6" xfId="0" applyBorder="1" applyAlignment="1">
      <alignment horizontal="center" vertical="center"/>
    </xf>
    <xf numFmtId="9" fontId="0" fillId="0" borderId="7" xfId="1" applyFont="1" applyBorder="1" applyAlignment="1">
      <alignment horizontal="center" vertical="center"/>
    </xf>
    <xf numFmtId="0" fontId="0" fillId="5" borderId="6" xfId="0" applyFill="1" applyBorder="1" applyAlignment="1">
      <alignment horizontal="center" vertical="center"/>
    </xf>
    <xf numFmtId="9" fontId="0" fillId="5" borderId="7" xfId="1" applyFont="1" applyFill="1" applyBorder="1" applyAlignment="1">
      <alignment horizontal="center" vertical="center"/>
    </xf>
    <xf numFmtId="0" fontId="0" fillId="0" borderId="8" xfId="0" applyBorder="1" applyAlignment="1">
      <alignment horizontal="center" vertical="center"/>
    </xf>
    <xf numFmtId="9" fontId="0" fillId="0" borderId="9" xfId="1" applyFont="1" applyBorder="1" applyAlignment="1">
      <alignment horizontal="center" vertical="center"/>
    </xf>
    <xf numFmtId="0" fontId="0" fillId="6" borderId="0" xfId="0" applyFill="1" applyAlignment="1">
      <alignment horizontal="center" vertical="center"/>
    </xf>
    <xf numFmtId="9" fontId="0" fillId="6" borderId="0" xfId="1" applyFont="1" applyFill="1" applyBorder="1" applyAlignment="1">
      <alignment horizontal="center" vertical="center"/>
    </xf>
    <xf numFmtId="0" fontId="17" fillId="0" borderId="19" xfId="0" applyFont="1" applyBorder="1" applyAlignment="1">
      <alignment horizontal="center" vertical="center" wrapText="1"/>
    </xf>
    <xf numFmtId="0" fontId="0" fillId="0" borderId="0" xfId="0" applyAlignment="1">
      <alignment horizontal="center"/>
    </xf>
    <xf numFmtId="0" fontId="19" fillId="0" borderId="0" xfId="0" applyFont="1"/>
    <xf numFmtId="169" fontId="0" fillId="0" borderId="2" xfId="2" applyNumberFormat="1" applyFont="1" applyBorder="1" applyAlignment="1">
      <alignment horizontal="center"/>
    </xf>
    <xf numFmtId="169" fontId="0" fillId="0" borderId="0" xfId="2" applyNumberFormat="1" applyFont="1" applyBorder="1" applyAlignment="1">
      <alignment horizontal="center"/>
    </xf>
    <xf numFmtId="0" fontId="17" fillId="0" borderId="0" xfId="0" applyFont="1" applyAlignment="1">
      <alignment horizontal="center" vertical="center" wrapText="1"/>
    </xf>
    <xf numFmtId="0" fontId="3" fillId="3" borderId="21" xfId="0" applyFont="1" applyFill="1" applyBorder="1" applyAlignment="1">
      <alignment horizontal="center" vertical="center"/>
    </xf>
    <xf numFmtId="2" fontId="3" fillId="0" borderId="14" xfId="0" applyNumberFormat="1" applyFont="1" applyBorder="1" applyAlignment="1">
      <alignment horizontal="center" vertical="center" wrapText="1"/>
    </xf>
    <xf numFmtId="0" fontId="3" fillId="3" borderId="2" xfId="0" applyFont="1" applyFill="1" applyBorder="1" applyAlignment="1">
      <alignment horizontal="center" vertical="center"/>
    </xf>
    <xf numFmtId="0" fontId="7" fillId="0" borderId="2" xfId="0" applyFont="1" applyBorder="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0" fillId="0" borderId="0" xfId="0" applyAlignment="1">
      <alignment vertical="center" wrapText="1"/>
    </xf>
    <xf numFmtId="1" fontId="3" fillId="0" borderId="2" xfId="0" applyNumberFormat="1" applyFont="1" applyBorder="1" applyAlignment="1">
      <alignment horizontal="center" vertical="center" wrapText="1"/>
    </xf>
    <xf numFmtId="1" fontId="0" fillId="0" borderId="0" xfId="0" applyNumberFormat="1" applyAlignment="1">
      <alignment horizontal="center" vertical="center"/>
    </xf>
    <xf numFmtId="1" fontId="0" fillId="0" borderId="12" xfId="0" applyNumberFormat="1" applyBorder="1"/>
    <xf numFmtId="1" fontId="2" fillId="0" borderId="2" xfId="0" applyNumberFormat="1" applyFont="1" applyBorder="1" applyAlignment="1">
      <alignment horizontal="center" vertical="center"/>
    </xf>
    <xf numFmtId="1" fontId="0" fillId="0" borderId="0" xfId="0" applyNumberFormat="1" applyAlignment="1">
      <alignment horizontal="right" vertical="center"/>
    </xf>
    <xf numFmtId="1" fontId="0" fillId="0" borderId="20" xfId="0" applyNumberFormat="1" applyBorder="1" applyAlignment="1">
      <alignment horizontal="center" vertical="center"/>
    </xf>
    <xf numFmtId="1" fontId="0" fillId="0" borderId="22" xfId="0" applyNumberFormat="1" applyBorder="1" applyAlignment="1">
      <alignment horizontal="center" vertical="center"/>
    </xf>
    <xf numFmtId="1" fontId="0" fillId="0" borderId="22" xfId="0" applyNumberFormat="1" applyBorder="1"/>
    <xf numFmtId="1" fontId="0" fillId="0" borderId="1" xfId="0" applyNumberFormat="1" applyBorder="1"/>
    <xf numFmtId="1" fontId="0" fillId="0" borderId="2" xfId="0" applyNumberFormat="1" applyBorder="1"/>
    <xf numFmtId="1" fontId="0" fillId="0" borderId="2" xfId="0" applyNumberFormat="1" applyBorder="1" applyAlignment="1">
      <alignment horizontal="center"/>
    </xf>
    <xf numFmtId="170" fontId="0" fillId="0" borderId="2" xfId="0" applyNumberFormat="1" applyBorder="1"/>
    <xf numFmtId="164" fontId="18" fillId="0" borderId="34" xfId="0" applyNumberFormat="1" applyFont="1" applyBorder="1"/>
    <xf numFmtId="0" fontId="0" fillId="0" borderId="34" xfId="0" applyBorder="1"/>
    <xf numFmtId="169" fontId="0" fillId="0" borderId="0" xfId="0" applyNumberFormat="1"/>
    <xf numFmtId="0" fontId="21" fillId="0" borderId="2" xfId="0" applyFont="1" applyBorder="1" applyAlignment="1">
      <alignment vertical="center" wrapText="1"/>
    </xf>
    <xf numFmtId="0" fontId="0" fillId="0" borderId="2" xfId="0" quotePrefix="1" applyBorder="1" applyAlignment="1">
      <alignment horizontal="center"/>
    </xf>
    <xf numFmtId="169" fontId="0" fillId="0" borderId="2" xfId="0" applyNumberFormat="1" applyBorder="1" applyAlignment="1">
      <alignment horizontal="center"/>
    </xf>
    <xf numFmtId="164" fontId="0" fillId="0" borderId="2" xfId="0" applyNumberFormat="1" applyBorder="1" applyAlignment="1">
      <alignment horizontal="center"/>
    </xf>
    <xf numFmtId="166" fontId="0" fillId="0" borderId="2" xfId="0" applyNumberFormat="1" applyBorder="1" applyAlignment="1">
      <alignment horizontal="center"/>
    </xf>
    <xf numFmtId="0" fontId="0" fillId="5" borderId="2" xfId="0" applyFill="1" applyBorder="1"/>
    <xf numFmtId="0" fontId="0" fillId="5" borderId="2" xfId="0" applyFill="1" applyBorder="1" applyAlignment="1">
      <alignment horizontal="center"/>
    </xf>
    <xf numFmtId="166" fontId="0" fillId="5" borderId="2" xfId="0" applyNumberFormat="1" applyFill="1" applyBorder="1" applyAlignment="1">
      <alignment horizontal="center"/>
    </xf>
    <xf numFmtId="169" fontId="0" fillId="5" borderId="2" xfId="0" applyNumberFormat="1" applyFill="1" applyBorder="1" applyAlignment="1">
      <alignment horizontal="center"/>
    </xf>
    <xf numFmtId="164" fontId="0" fillId="5" borderId="2" xfId="0" applyNumberFormat="1" applyFill="1" applyBorder="1" applyAlignment="1">
      <alignment horizontal="center"/>
    </xf>
    <xf numFmtId="167" fontId="0" fillId="0" borderId="2" xfId="0" applyNumberFormat="1" applyBorder="1" applyAlignment="1">
      <alignment horizontal="center"/>
    </xf>
    <xf numFmtId="1" fontId="2" fillId="6" borderId="2" xfId="0"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167" fontId="0" fillId="0" borderId="2" xfId="0" applyNumberFormat="1" applyBorder="1" applyAlignment="1">
      <alignment horizontal="center" vertical="center"/>
    </xf>
    <xf numFmtId="1" fontId="0" fillId="5" borderId="2" xfId="0" applyNumberFormat="1" applyFill="1" applyBorder="1"/>
    <xf numFmtId="1" fontId="0" fillId="5" borderId="2" xfId="0" applyNumberFormat="1" applyFill="1" applyBorder="1" applyAlignment="1">
      <alignment horizontal="center" vertical="center"/>
    </xf>
    <xf numFmtId="0" fontId="0" fillId="0" borderId="37" xfId="0" applyBorder="1" applyAlignment="1">
      <alignment horizontal="center" vertical="center"/>
    </xf>
    <xf numFmtId="164" fontId="18" fillId="0" borderId="38" xfId="0" applyNumberFormat="1" applyFont="1" applyBorder="1"/>
    <xf numFmtId="0" fontId="0" fillId="0" borderId="38" xfId="0" applyBorder="1"/>
    <xf numFmtId="0" fontId="19" fillId="0" borderId="38" xfId="0" applyFont="1" applyBorder="1"/>
    <xf numFmtId="0" fontId="19" fillId="0" borderId="20" xfId="0" applyFont="1" applyBorder="1"/>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27" fillId="0" borderId="14" xfId="0" applyFont="1" applyBorder="1" applyAlignment="1">
      <alignment horizontal="center"/>
    </xf>
    <xf numFmtId="0" fontId="27" fillId="0" borderId="38" xfId="0" applyFont="1" applyBorder="1" applyAlignment="1">
      <alignment horizontal="center"/>
    </xf>
    <xf numFmtId="0" fontId="27" fillId="0" borderId="20" xfId="0" applyFont="1" applyBorder="1" applyAlignment="1">
      <alignment horizontal="center"/>
    </xf>
    <xf numFmtId="1" fontId="23" fillId="0" borderId="14" xfId="0" applyNumberFormat="1" applyFont="1" applyBorder="1" applyAlignment="1">
      <alignment horizontal="center" vertical="center"/>
    </xf>
    <xf numFmtId="0" fontId="23" fillId="0" borderId="20" xfId="0" applyFont="1" applyBorder="1" applyAlignment="1">
      <alignment horizontal="center" vertical="center"/>
    </xf>
    <xf numFmtId="0" fontId="21" fillId="0" borderId="14" xfId="0" applyFont="1" applyBorder="1" applyAlignment="1">
      <alignment horizontal="center" vertical="center"/>
    </xf>
    <xf numFmtId="0" fontId="21" fillId="0" borderId="38" xfId="0" applyFont="1" applyBorder="1" applyAlignment="1">
      <alignment horizontal="center" vertical="center"/>
    </xf>
    <xf numFmtId="0" fontId="21" fillId="0" borderId="20" xfId="0" applyFont="1" applyBorder="1" applyAlignment="1">
      <alignment horizontal="center" vertical="center"/>
    </xf>
    <xf numFmtId="0" fontId="24" fillId="0" borderId="14" xfId="0" applyFont="1" applyBorder="1" applyAlignment="1">
      <alignment horizontal="center"/>
    </xf>
    <xf numFmtId="0" fontId="24" fillId="0" borderId="38" xfId="0" applyFont="1" applyBorder="1" applyAlignment="1">
      <alignment horizontal="center"/>
    </xf>
    <xf numFmtId="0" fontId="24" fillId="0" borderId="20" xfId="0" applyFont="1" applyBorder="1" applyAlignment="1">
      <alignment horizontal="center"/>
    </xf>
    <xf numFmtId="0" fontId="0" fillId="0" borderId="2" xfId="0" applyBorder="1" applyAlignment="1">
      <alignment horizontal="center"/>
    </xf>
    <xf numFmtId="0" fontId="0" fillId="0" borderId="14" xfId="0" applyBorder="1" applyAlignment="1">
      <alignment horizontal="center" vertical="center"/>
    </xf>
    <xf numFmtId="0" fontId="0" fillId="0" borderId="38" xfId="0" applyBorder="1" applyAlignment="1">
      <alignment horizontal="center" vertical="center"/>
    </xf>
    <xf numFmtId="0" fontId="0" fillId="0" borderId="20" xfId="0" applyBorder="1" applyAlignment="1">
      <alignment horizontal="center" vertical="center"/>
    </xf>
    <xf numFmtId="0" fontId="27" fillId="0" borderId="0" xfId="0" applyFont="1" applyAlignment="1">
      <alignment horizontal="center"/>
    </xf>
    <xf numFmtId="0" fontId="22" fillId="0" borderId="14" xfId="0" applyFont="1" applyBorder="1" applyAlignment="1">
      <alignment horizontal="center"/>
    </xf>
    <xf numFmtId="0" fontId="22" fillId="0" borderId="38" xfId="0" applyFont="1" applyBorder="1" applyAlignment="1">
      <alignment horizontal="center"/>
    </xf>
    <xf numFmtId="0" fontId="22" fillId="0" borderId="20" xfId="0" applyFont="1" applyBorder="1" applyAlignment="1">
      <alignment horizontal="center"/>
    </xf>
    <xf numFmtId="0" fontId="0" fillId="0" borderId="0" xfId="0" applyAlignment="1">
      <alignment horizontal="center"/>
    </xf>
    <xf numFmtId="0" fontId="0" fillId="0" borderId="33" xfId="0" applyBorder="1" applyAlignment="1">
      <alignment horizontal="right"/>
    </xf>
    <xf numFmtId="0" fontId="0" fillId="0" borderId="34" xfId="0" applyBorder="1" applyAlignment="1">
      <alignment horizontal="right"/>
    </xf>
    <xf numFmtId="0" fontId="0" fillId="0" borderId="34" xfId="0" applyBorder="1" applyAlignment="1">
      <alignment horizontal="left"/>
    </xf>
    <xf numFmtId="0" fontId="0" fillId="0" borderId="35" xfId="0" applyBorder="1" applyAlignment="1">
      <alignment horizontal="left"/>
    </xf>
    <xf numFmtId="0" fontId="0" fillId="0" borderId="2" xfId="0" applyBorder="1" applyAlignment="1">
      <alignment horizontal="center" vertical="center"/>
    </xf>
    <xf numFmtId="0" fontId="26" fillId="0" borderId="0" xfId="0" applyFont="1" applyAlignment="1">
      <alignment horizontal="center"/>
    </xf>
    <xf numFmtId="0" fontId="25" fillId="0" borderId="0" xfId="0" applyFont="1" applyAlignment="1">
      <alignment horizontal="center"/>
    </xf>
    <xf numFmtId="0" fontId="24" fillId="0" borderId="0" xfId="0" applyFont="1" applyAlignment="1">
      <alignment horizontal="center"/>
    </xf>
    <xf numFmtId="0" fontId="22" fillId="0" borderId="0" xfId="0" applyFont="1" applyAlignment="1">
      <alignment horizontal="center"/>
    </xf>
    <xf numFmtId="0" fontId="26" fillId="0" borderId="14" xfId="0" applyFont="1" applyBorder="1" applyAlignment="1">
      <alignment horizontal="center"/>
    </xf>
    <xf numFmtId="0" fontId="26" fillId="0" borderId="38" xfId="0" applyFont="1" applyBorder="1" applyAlignment="1">
      <alignment horizontal="center"/>
    </xf>
    <xf numFmtId="0" fontId="26" fillId="0" borderId="20" xfId="0" applyFont="1" applyBorder="1" applyAlignment="1">
      <alignment horizontal="center"/>
    </xf>
    <xf numFmtId="0" fontId="25" fillId="5" borderId="14" xfId="0" applyFont="1" applyFill="1" applyBorder="1" applyAlignment="1">
      <alignment horizontal="center"/>
    </xf>
    <xf numFmtId="0" fontId="25" fillId="5" borderId="38" xfId="0" applyFont="1" applyFill="1" applyBorder="1" applyAlignment="1">
      <alignment horizontal="center"/>
    </xf>
    <xf numFmtId="0" fontId="25" fillId="5" borderId="20" xfId="0" applyFont="1" applyFill="1" applyBorder="1" applyAlignment="1">
      <alignment horizontal="center"/>
    </xf>
    <xf numFmtId="1" fontId="23" fillId="5" borderId="14" xfId="0" applyNumberFormat="1" applyFont="1" applyFill="1" applyBorder="1" applyAlignment="1">
      <alignment horizontal="center" vertical="center"/>
    </xf>
    <xf numFmtId="0" fontId="23" fillId="5" borderId="20" xfId="0" applyFont="1" applyFill="1" applyBorder="1" applyAlignment="1">
      <alignment horizontal="center" vertical="center"/>
    </xf>
    <xf numFmtId="0" fontId="20" fillId="0" borderId="33" xfId="0" applyFont="1" applyBorder="1" applyAlignment="1">
      <alignment horizontal="center" vertical="center"/>
    </xf>
    <xf numFmtId="0" fontId="20" fillId="0" borderId="34" xfId="0" applyFont="1" applyBorder="1" applyAlignment="1">
      <alignment horizontal="center" vertical="center"/>
    </xf>
    <xf numFmtId="0" fontId="20" fillId="0" borderId="35" xfId="0" applyFont="1" applyBorder="1" applyAlignment="1">
      <alignment horizontal="center" vertical="center"/>
    </xf>
    <xf numFmtId="0" fontId="20" fillId="0" borderId="16" xfId="0" applyFont="1" applyBorder="1" applyAlignment="1">
      <alignment horizontal="center" vertical="center"/>
    </xf>
    <xf numFmtId="0" fontId="20" fillId="0" borderId="36" xfId="0" applyFont="1" applyBorder="1" applyAlignment="1">
      <alignment horizontal="center" vertical="center"/>
    </xf>
    <xf numFmtId="0" fontId="20" fillId="0" borderId="37" xfId="0" applyFont="1" applyBorder="1" applyAlignment="1">
      <alignment horizontal="center" vertical="center"/>
    </xf>
    <xf numFmtId="0" fontId="4" fillId="2" borderId="2" xfId="0" applyFont="1" applyFill="1" applyBorder="1" applyAlignment="1">
      <alignment horizontal="justify" vertical="center" wrapText="1"/>
    </xf>
    <xf numFmtId="0" fontId="0" fillId="0" borderId="0" xfId="0" applyAlignment="1">
      <alignment horizontal="left" vertical="center" wrapText="1"/>
    </xf>
    <xf numFmtId="0" fontId="0" fillId="0" borderId="14" xfId="0" applyBorder="1" applyAlignment="1">
      <alignment horizontal="right"/>
    </xf>
    <xf numFmtId="0" fontId="0" fillId="0" borderId="38" xfId="0" applyBorder="1" applyAlignment="1">
      <alignment horizontal="right"/>
    </xf>
    <xf numFmtId="0" fontId="0" fillId="0" borderId="38" xfId="0" applyBorder="1" applyAlignment="1">
      <alignment horizontal="left"/>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15" xfId="0" applyBorder="1" applyAlignment="1">
      <alignment horizontal="center"/>
    </xf>
  </cellXfs>
  <cellStyles count="3">
    <cellStyle name="Currency 2" xfId="2" xr:uid="{CBC33D0C-6724-41F7-B354-391853432E0F}"/>
    <cellStyle name="Normal" xfId="0" builtinId="0"/>
    <cellStyle name="Per cent" xfId="1" builtinId="5"/>
  </cellStyles>
  <dxfs count="8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16</xdr:col>
      <xdr:colOff>361950</xdr:colOff>
      <xdr:row>4</xdr:row>
      <xdr:rowOff>71438</xdr:rowOff>
    </xdr:from>
    <xdr:to>
      <xdr:col>18</xdr:col>
      <xdr:colOff>375397</xdr:colOff>
      <xdr:row>4</xdr:row>
      <xdr:rowOff>72839</xdr:rowOff>
    </xdr:to>
    <xdr:cxnSp macro="">
      <xdr:nvCxnSpPr>
        <xdr:cNvPr id="2" name="Straight Arrow Connector 1">
          <a:extLst>
            <a:ext uri="{FF2B5EF4-FFF2-40B4-BE49-F238E27FC236}">
              <a16:creationId xmlns:a16="http://schemas.microsoft.com/office/drawing/2014/main" id="{59D59E11-5A72-4D3D-915C-4F5B451CB073}"/>
            </a:ext>
          </a:extLst>
        </xdr:cNvPr>
        <xdr:cNvCxnSpPr/>
      </xdr:nvCxnSpPr>
      <xdr:spPr>
        <a:xfrm>
          <a:off x="12211050" y="804863"/>
          <a:ext cx="732585"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304800</xdr:colOff>
      <xdr:row>12</xdr:row>
      <xdr:rowOff>109538</xdr:rowOff>
    </xdr:from>
    <xdr:to>
      <xdr:col>19</xdr:col>
      <xdr:colOff>331</xdr:colOff>
      <xdr:row>12</xdr:row>
      <xdr:rowOff>120492</xdr:rowOff>
    </xdr:to>
    <xdr:cxnSp macro="">
      <xdr:nvCxnSpPr>
        <xdr:cNvPr id="3" name="Straight Arrow Connector 2">
          <a:extLst>
            <a:ext uri="{FF2B5EF4-FFF2-40B4-BE49-F238E27FC236}">
              <a16:creationId xmlns:a16="http://schemas.microsoft.com/office/drawing/2014/main" id="{DE14E331-B91B-4983-BE8F-4D7FB707D69A}"/>
            </a:ext>
          </a:extLst>
        </xdr:cNvPr>
        <xdr:cNvCxnSpPr/>
      </xdr:nvCxnSpPr>
      <xdr:spPr>
        <a:xfrm>
          <a:off x="12525375" y="2290763"/>
          <a:ext cx="424194"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5603</xdr:colOff>
      <xdr:row>12</xdr:row>
      <xdr:rowOff>72839</xdr:rowOff>
    </xdr:from>
    <xdr:to>
      <xdr:col>22</xdr:col>
      <xdr:colOff>391991</xdr:colOff>
      <xdr:row>12</xdr:row>
      <xdr:rowOff>80596</xdr:rowOff>
    </xdr:to>
    <xdr:cxnSp macro="">
      <xdr:nvCxnSpPr>
        <xdr:cNvPr id="4" name="Straight Arrow Connector 3">
          <a:extLst>
            <a:ext uri="{FF2B5EF4-FFF2-40B4-BE49-F238E27FC236}">
              <a16:creationId xmlns:a16="http://schemas.microsoft.com/office/drawing/2014/main" id="{B4030E39-655A-46E8-A943-354C7278C3FA}"/>
            </a:ext>
          </a:extLst>
        </xdr:cNvPr>
        <xdr:cNvCxnSpPr/>
      </xdr:nvCxnSpPr>
      <xdr:spPr>
        <a:xfrm>
          <a:off x="14080622" y="2241608"/>
          <a:ext cx="38638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8283</xdr:colOff>
      <xdr:row>8</xdr:row>
      <xdr:rowOff>98913</xdr:rowOff>
    </xdr:from>
    <xdr:to>
      <xdr:col>30</xdr:col>
      <xdr:colOff>388327</xdr:colOff>
      <xdr:row>8</xdr:row>
      <xdr:rowOff>99391</xdr:rowOff>
    </xdr:to>
    <xdr:cxnSp macro="">
      <xdr:nvCxnSpPr>
        <xdr:cNvPr id="6" name="Straight Arrow Connector 5">
          <a:extLst>
            <a:ext uri="{FF2B5EF4-FFF2-40B4-BE49-F238E27FC236}">
              <a16:creationId xmlns:a16="http://schemas.microsoft.com/office/drawing/2014/main" id="{93B0DC91-35E6-4D3E-82FF-9C1DEFDCEB37}"/>
            </a:ext>
          </a:extLst>
        </xdr:cNvPr>
        <xdr:cNvCxnSpPr/>
      </xdr:nvCxnSpPr>
      <xdr:spPr>
        <a:xfrm flipV="1">
          <a:off x="17169848" y="1564935"/>
          <a:ext cx="38004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3922</xdr:colOff>
      <xdr:row>12</xdr:row>
      <xdr:rowOff>95250</xdr:rowOff>
    </xdr:from>
    <xdr:to>
      <xdr:col>38</xdr:col>
      <xdr:colOff>392205</xdr:colOff>
      <xdr:row>12</xdr:row>
      <xdr:rowOff>100853</xdr:rowOff>
    </xdr:to>
    <xdr:cxnSp macro="">
      <xdr:nvCxnSpPr>
        <xdr:cNvPr id="13" name="Straight Arrow Connector 12">
          <a:extLst>
            <a:ext uri="{FF2B5EF4-FFF2-40B4-BE49-F238E27FC236}">
              <a16:creationId xmlns:a16="http://schemas.microsoft.com/office/drawing/2014/main" id="{F2614025-11F1-4FC6-AE6C-6B69D21AFF9E}"/>
            </a:ext>
          </a:extLst>
        </xdr:cNvPr>
        <xdr:cNvCxnSpPr/>
      </xdr:nvCxnSpPr>
      <xdr:spPr>
        <a:xfrm>
          <a:off x="20292173" y="2257985"/>
          <a:ext cx="388283"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8750</xdr:colOff>
      <xdr:row>4</xdr:row>
      <xdr:rowOff>98914</xdr:rowOff>
    </xdr:from>
    <xdr:to>
      <xdr:col>23</xdr:col>
      <xdr:colOff>0</xdr:colOff>
      <xdr:row>4</xdr:row>
      <xdr:rowOff>101715</xdr:rowOff>
    </xdr:to>
    <xdr:cxnSp macro="">
      <xdr:nvCxnSpPr>
        <xdr:cNvPr id="16" name="Straight Arrow Connector 15">
          <a:extLst>
            <a:ext uri="{FF2B5EF4-FFF2-40B4-BE49-F238E27FC236}">
              <a16:creationId xmlns:a16="http://schemas.microsoft.com/office/drawing/2014/main" id="{44FC0848-BFE1-42B6-8E56-D5044090955B}"/>
            </a:ext>
          </a:extLst>
        </xdr:cNvPr>
        <xdr:cNvCxnSpPr/>
      </xdr:nvCxnSpPr>
      <xdr:spPr>
        <a:xfrm flipV="1">
          <a:off x="14083769" y="831606"/>
          <a:ext cx="38690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290513</xdr:colOff>
      <xdr:row>8</xdr:row>
      <xdr:rowOff>95250</xdr:rowOff>
    </xdr:from>
    <xdr:to>
      <xdr:col>19</xdr:col>
      <xdr:colOff>0</xdr:colOff>
      <xdr:row>8</xdr:row>
      <xdr:rowOff>100853</xdr:rowOff>
    </xdr:to>
    <xdr:cxnSp macro="">
      <xdr:nvCxnSpPr>
        <xdr:cNvPr id="23" name="Straight Arrow Connector 22">
          <a:extLst>
            <a:ext uri="{FF2B5EF4-FFF2-40B4-BE49-F238E27FC236}">
              <a16:creationId xmlns:a16="http://schemas.microsoft.com/office/drawing/2014/main" id="{5E43E73A-F913-4944-B7D6-E5FD74C8B4E5}"/>
            </a:ext>
          </a:extLst>
        </xdr:cNvPr>
        <xdr:cNvCxnSpPr/>
      </xdr:nvCxnSpPr>
      <xdr:spPr>
        <a:xfrm>
          <a:off x="12511088" y="1552575"/>
          <a:ext cx="438150"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7327</xdr:colOff>
      <xdr:row>4</xdr:row>
      <xdr:rowOff>91587</xdr:rowOff>
    </xdr:from>
    <xdr:to>
      <xdr:col>26</xdr:col>
      <xdr:colOff>394231</xdr:colOff>
      <xdr:row>4</xdr:row>
      <xdr:rowOff>94388</xdr:rowOff>
    </xdr:to>
    <xdr:cxnSp macro="">
      <xdr:nvCxnSpPr>
        <xdr:cNvPr id="31" name="Straight Arrow Connector 30">
          <a:extLst>
            <a:ext uri="{FF2B5EF4-FFF2-40B4-BE49-F238E27FC236}">
              <a16:creationId xmlns:a16="http://schemas.microsoft.com/office/drawing/2014/main" id="{7C923BCA-D588-49D6-B23B-97C1159B9DA4}"/>
            </a:ext>
          </a:extLst>
        </xdr:cNvPr>
        <xdr:cNvCxnSpPr/>
      </xdr:nvCxnSpPr>
      <xdr:spPr>
        <a:xfrm flipV="1">
          <a:off x="15664962" y="824279"/>
          <a:ext cx="38690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3663</xdr:colOff>
      <xdr:row>8</xdr:row>
      <xdr:rowOff>112705</xdr:rowOff>
    </xdr:from>
    <xdr:to>
      <xdr:col>27</xdr:col>
      <xdr:colOff>0</xdr:colOff>
      <xdr:row>8</xdr:row>
      <xdr:rowOff>115956</xdr:rowOff>
    </xdr:to>
    <xdr:cxnSp macro="">
      <xdr:nvCxnSpPr>
        <xdr:cNvPr id="32" name="Straight Arrow Connector 31">
          <a:extLst>
            <a:ext uri="{FF2B5EF4-FFF2-40B4-BE49-F238E27FC236}">
              <a16:creationId xmlns:a16="http://schemas.microsoft.com/office/drawing/2014/main" id="{1EA8C5D4-5C8B-42AC-BB29-3454CAAF4618}"/>
            </a:ext>
          </a:extLst>
        </xdr:cNvPr>
        <xdr:cNvCxnSpPr/>
      </xdr:nvCxnSpPr>
      <xdr:spPr>
        <a:xfrm>
          <a:off x="14063392" y="1578727"/>
          <a:ext cx="1963456"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181570</xdr:colOff>
      <xdr:row>5</xdr:row>
      <xdr:rowOff>179819</xdr:rowOff>
    </xdr:from>
    <xdr:to>
      <xdr:col>20</xdr:col>
      <xdr:colOff>182264</xdr:colOff>
      <xdr:row>6</xdr:row>
      <xdr:rowOff>101203</xdr:rowOff>
    </xdr:to>
    <xdr:cxnSp macro="">
      <xdr:nvCxnSpPr>
        <xdr:cNvPr id="75" name="Straight Connector 74">
          <a:extLst>
            <a:ext uri="{FF2B5EF4-FFF2-40B4-BE49-F238E27FC236}">
              <a16:creationId xmlns:a16="http://schemas.microsoft.com/office/drawing/2014/main" id="{641266FA-28F0-E562-CFEC-78A1B841AF91}"/>
            </a:ext>
          </a:extLst>
        </xdr:cNvPr>
        <xdr:cNvCxnSpPr/>
      </xdr:nvCxnSpPr>
      <xdr:spPr>
        <a:xfrm flipH="1">
          <a:off x="13457039" y="1093624"/>
          <a:ext cx="694" cy="10295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0</xdr:colOff>
      <xdr:row>8</xdr:row>
      <xdr:rowOff>109903</xdr:rowOff>
    </xdr:from>
    <xdr:to>
      <xdr:col>35</xdr:col>
      <xdr:colOff>7327</xdr:colOff>
      <xdr:row>8</xdr:row>
      <xdr:rowOff>113567</xdr:rowOff>
    </xdr:to>
    <xdr:cxnSp macro="">
      <xdr:nvCxnSpPr>
        <xdr:cNvPr id="77" name="Straight Arrow Connector 76">
          <a:extLst>
            <a:ext uri="{FF2B5EF4-FFF2-40B4-BE49-F238E27FC236}">
              <a16:creationId xmlns:a16="http://schemas.microsoft.com/office/drawing/2014/main" id="{0808BB33-EBB3-4863-9831-6486DA4EEE77}"/>
            </a:ext>
          </a:extLst>
        </xdr:cNvPr>
        <xdr:cNvCxnSpPr/>
      </xdr:nvCxnSpPr>
      <xdr:spPr>
        <a:xfrm flipV="1">
          <a:off x="18727615" y="1560634"/>
          <a:ext cx="329712"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187523</xdr:colOff>
      <xdr:row>14</xdr:row>
      <xdr:rowOff>10991</xdr:rowOff>
    </xdr:from>
    <xdr:to>
      <xdr:col>36</xdr:col>
      <xdr:colOff>219808</xdr:colOff>
      <xdr:row>15</xdr:row>
      <xdr:rowOff>125015</xdr:rowOff>
    </xdr:to>
    <xdr:cxnSp macro="">
      <xdr:nvCxnSpPr>
        <xdr:cNvPr id="80" name="Connector: Elbow 79">
          <a:extLst>
            <a:ext uri="{FF2B5EF4-FFF2-40B4-BE49-F238E27FC236}">
              <a16:creationId xmlns:a16="http://schemas.microsoft.com/office/drawing/2014/main" id="{9CBF0A44-A66D-3351-2A9E-D40531A06948}"/>
            </a:ext>
          </a:extLst>
        </xdr:cNvPr>
        <xdr:cNvCxnSpPr/>
      </xdr:nvCxnSpPr>
      <xdr:spPr>
        <a:xfrm flipV="1">
          <a:off x="13462992" y="2558929"/>
          <a:ext cx="6199722" cy="29559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190499</xdr:colOff>
      <xdr:row>14</xdr:row>
      <xdr:rowOff>3663</xdr:rowOff>
    </xdr:from>
    <xdr:to>
      <xdr:col>20</xdr:col>
      <xdr:colOff>190500</xdr:colOff>
      <xdr:row>15</xdr:row>
      <xdr:rowOff>120894</xdr:rowOff>
    </xdr:to>
    <xdr:cxnSp macro="">
      <xdr:nvCxnSpPr>
        <xdr:cNvPr id="95" name="Straight Connector 94">
          <a:extLst>
            <a:ext uri="{FF2B5EF4-FFF2-40B4-BE49-F238E27FC236}">
              <a16:creationId xmlns:a16="http://schemas.microsoft.com/office/drawing/2014/main" id="{72260E0A-B5F9-4300-84F0-1DC3B68A7EB7}"/>
            </a:ext>
          </a:extLst>
        </xdr:cNvPr>
        <xdr:cNvCxnSpPr/>
      </xdr:nvCxnSpPr>
      <xdr:spPr>
        <a:xfrm>
          <a:off x="13474211" y="2531451"/>
          <a:ext cx="1" cy="29674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169793</xdr:colOff>
      <xdr:row>10</xdr:row>
      <xdr:rowOff>2229</xdr:rowOff>
    </xdr:from>
    <xdr:to>
      <xdr:col>40</xdr:col>
      <xdr:colOff>172979</xdr:colOff>
      <xdr:row>10</xdr:row>
      <xdr:rowOff>173934</xdr:rowOff>
    </xdr:to>
    <xdr:cxnSp macro="">
      <xdr:nvCxnSpPr>
        <xdr:cNvPr id="146" name="Straight Arrow Connector 145">
          <a:extLst>
            <a:ext uri="{FF2B5EF4-FFF2-40B4-BE49-F238E27FC236}">
              <a16:creationId xmlns:a16="http://schemas.microsoft.com/office/drawing/2014/main" id="{9051B36F-D0C3-41A8-A3A5-596663C4F2C8}"/>
            </a:ext>
          </a:extLst>
        </xdr:cNvPr>
        <xdr:cNvCxnSpPr/>
      </xdr:nvCxnSpPr>
      <xdr:spPr>
        <a:xfrm flipV="1">
          <a:off x="21174489" y="1832686"/>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2428</xdr:colOff>
      <xdr:row>10</xdr:row>
      <xdr:rowOff>169120</xdr:rowOff>
    </xdr:from>
    <xdr:to>
      <xdr:col>40</xdr:col>
      <xdr:colOff>165929</xdr:colOff>
      <xdr:row>12</xdr:row>
      <xdr:rowOff>91109</xdr:rowOff>
    </xdr:to>
    <xdr:cxnSp macro="">
      <xdr:nvCxnSpPr>
        <xdr:cNvPr id="152" name="Connector: Elbow 151">
          <a:extLst>
            <a:ext uri="{FF2B5EF4-FFF2-40B4-BE49-F238E27FC236}">
              <a16:creationId xmlns:a16="http://schemas.microsoft.com/office/drawing/2014/main" id="{E71D10BF-13D3-F399-320B-198E800D4E35}"/>
            </a:ext>
          </a:extLst>
        </xdr:cNvPr>
        <xdr:cNvCxnSpPr/>
      </xdr:nvCxnSpPr>
      <xdr:spPr>
        <a:xfrm flipV="1">
          <a:off x="17776046" y="2364497"/>
          <a:ext cx="5913602" cy="458069"/>
        </a:xfrm>
        <a:prstGeom prst="bentConnector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411633</xdr:colOff>
      <xdr:row>4</xdr:row>
      <xdr:rowOff>142165</xdr:rowOff>
    </xdr:from>
    <xdr:to>
      <xdr:col>38</xdr:col>
      <xdr:colOff>242096</xdr:colOff>
      <xdr:row>10</xdr:row>
      <xdr:rowOff>167012</xdr:rowOff>
    </xdr:to>
    <xdr:cxnSp macro="">
      <xdr:nvCxnSpPr>
        <xdr:cNvPr id="154" name="Connector: Elbow 153">
          <a:extLst>
            <a:ext uri="{FF2B5EF4-FFF2-40B4-BE49-F238E27FC236}">
              <a16:creationId xmlns:a16="http://schemas.microsoft.com/office/drawing/2014/main" id="{27E76C5F-A0D2-8A08-D380-1449D248C06C}"/>
            </a:ext>
          </a:extLst>
        </xdr:cNvPr>
        <xdr:cNvCxnSpPr/>
      </xdr:nvCxnSpPr>
      <xdr:spPr>
        <a:xfrm>
          <a:off x="19439296" y="1022869"/>
          <a:ext cx="3490488" cy="1339520"/>
        </a:xfrm>
        <a:prstGeom prst="bentConnector3">
          <a:avLst>
            <a:gd name="adj1" fmla="val 9812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284714</xdr:colOff>
      <xdr:row>4</xdr:row>
      <xdr:rowOff>76200</xdr:rowOff>
    </xdr:from>
    <xdr:to>
      <xdr:col>17</xdr:col>
      <xdr:colOff>295275</xdr:colOff>
      <xdr:row>12</xdr:row>
      <xdr:rowOff>114300</xdr:rowOff>
    </xdr:to>
    <xdr:cxnSp macro="">
      <xdr:nvCxnSpPr>
        <xdr:cNvPr id="160" name="Straight Connector 159">
          <a:extLst>
            <a:ext uri="{FF2B5EF4-FFF2-40B4-BE49-F238E27FC236}">
              <a16:creationId xmlns:a16="http://schemas.microsoft.com/office/drawing/2014/main" id="{F5003897-6662-472B-7306-0C3D244DB3F5}"/>
            </a:ext>
          </a:extLst>
        </xdr:cNvPr>
        <xdr:cNvCxnSpPr/>
      </xdr:nvCxnSpPr>
      <xdr:spPr>
        <a:xfrm>
          <a:off x="12505289" y="809625"/>
          <a:ext cx="10561" cy="14859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208055</xdr:colOff>
      <xdr:row>5</xdr:row>
      <xdr:rowOff>210875</xdr:rowOff>
    </xdr:from>
    <xdr:to>
      <xdr:col>42</xdr:col>
      <xdr:colOff>368430</xdr:colOff>
      <xdr:row>6</xdr:row>
      <xdr:rowOff>277406</xdr:rowOff>
    </xdr:to>
    <xdr:cxnSp macro="">
      <xdr:nvCxnSpPr>
        <xdr:cNvPr id="169" name="Connector: Elbow 168">
          <a:extLst>
            <a:ext uri="{FF2B5EF4-FFF2-40B4-BE49-F238E27FC236}">
              <a16:creationId xmlns:a16="http://schemas.microsoft.com/office/drawing/2014/main" id="{08A645D3-90B6-9A1B-C3C2-50C1C8D619EE}"/>
            </a:ext>
          </a:extLst>
        </xdr:cNvPr>
        <xdr:cNvCxnSpPr/>
      </xdr:nvCxnSpPr>
      <xdr:spPr>
        <a:xfrm flipV="1">
          <a:off x="22084130" y="1277155"/>
          <a:ext cx="2657030" cy="335268"/>
        </a:xfrm>
        <a:prstGeom prst="bentConnector3">
          <a:avLst>
            <a:gd name="adj1" fmla="val 408"/>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175260</xdr:colOff>
      <xdr:row>5</xdr:row>
      <xdr:rowOff>198120</xdr:rowOff>
    </xdr:from>
    <xdr:to>
      <xdr:col>40</xdr:col>
      <xdr:colOff>178076</xdr:colOff>
      <xdr:row>7</xdr:row>
      <xdr:rowOff>4142</xdr:rowOff>
    </xdr:to>
    <xdr:cxnSp macro="">
      <xdr:nvCxnSpPr>
        <xdr:cNvPr id="172" name="Straight Connector 171">
          <a:extLst>
            <a:ext uri="{FF2B5EF4-FFF2-40B4-BE49-F238E27FC236}">
              <a16:creationId xmlns:a16="http://schemas.microsoft.com/office/drawing/2014/main" id="{BF8851B3-5996-ACCA-6753-2F584A315F05}"/>
            </a:ext>
          </a:extLst>
        </xdr:cNvPr>
        <xdr:cNvCxnSpPr/>
      </xdr:nvCxnSpPr>
      <xdr:spPr>
        <a:xfrm flipH="1" flipV="1">
          <a:off x="21343620" y="1203960"/>
          <a:ext cx="2816" cy="2479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161510</xdr:colOff>
      <xdr:row>7</xdr:row>
      <xdr:rowOff>0</xdr:rowOff>
    </xdr:from>
    <xdr:to>
      <xdr:col>44</xdr:col>
      <xdr:colOff>165652</xdr:colOff>
      <xdr:row>9</xdr:row>
      <xdr:rowOff>178076</xdr:rowOff>
    </xdr:to>
    <xdr:cxnSp macro="">
      <xdr:nvCxnSpPr>
        <xdr:cNvPr id="173" name="Straight Arrow Connector 172">
          <a:extLst>
            <a:ext uri="{FF2B5EF4-FFF2-40B4-BE49-F238E27FC236}">
              <a16:creationId xmlns:a16="http://schemas.microsoft.com/office/drawing/2014/main" id="{4034A5C9-4DFE-425D-804F-C4454494F4DF}"/>
            </a:ext>
          </a:extLst>
        </xdr:cNvPr>
        <xdr:cNvCxnSpPr/>
      </xdr:nvCxnSpPr>
      <xdr:spPr>
        <a:xfrm flipH="1">
          <a:off x="22648793" y="1101587"/>
          <a:ext cx="4142" cy="54251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180975</xdr:colOff>
      <xdr:row>6</xdr:row>
      <xdr:rowOff>104775</xdr:rowOff>
    </xdr:from>
    <xdr:to>
      <xdr:col>30</xdr:col>
      <xdr:colOff>147637</xdr:colOff>
      <xdr:row>8</xdr:row>
      <xdr:rowOff>95250</xdr:rowOff>
    </xdr:to>
    <xdr:cxnSp macro="">
      <xdr:nvCxnSpPr>
        <xdr:cNvPr id="192" name="Connector: Elbow 191">
          <a:extLst>
            <a:ext uri="{FF2B5EF4-FFF2-40B4-BE49-F238E27FC236}">
              <a16:creationId xmlns:a16="http://schemas.microsoft.com/office/drawing/2014/main" id="{B9872733-0DFF-F2E8-B772-64D42C71F0D4}"/>
            </a:ext>
          </a:extLst>
        </xdr:cNvPr>
        <xdr:cNvCxnSpPr/>
      </xdr:nvCxnSpPr>
      <xdr:spPr>
        <a:xfrm>
          <a:off x="13501688" y="1200150"/>
          <a:ext cx="3871912" cy="35242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361950</xdr:colOff>
      <xdr:row>4</xdr:row>
      <xdr:rowOff>71438</xdr:rowOff>
    </xdr:from>
    <xdr:to>
      <xdr:col>6</xdr:col>
      <xdr:colOff>375397</xdr:colOff>
      <xdr:row>4</xdr:row>
      <xdr:rowOff>72839</xdr:rowOff>
    </xdr:to>
    <xdr:cxnSp macro="">
      <xdr:nvCxnSpPr>
        <xdr:cNvPr id="15" name="Straight Arrow Connector 14">
          <a:extLst>
            <a:ext uri="{FF2B5EF4-FFF2-40B4-BE49-F238E27FC236}">
              <a16:creationId xmlns:a16="http://schemas.microsoft.com/office/drawing/2014/main" id="{62AE215C-3F0E-4906-968E-FAD069284CE3}"/>
            </a:ext>
          </a:extLst>
        </xdr:cNvPr>
        <xdr:cNvCxnSpPr/>
      </xdr:nvCxnSpPr>
      <xdr:spPr>
        <a:xfrm>
          <a:off x="12584430" y="894398"/>
          <a:ext cx="72210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304800</xdr:colOff>
      <xdr:row>12</xdr:row>
      <xdr:rowOff>109538</xdr:rowOff>
    </xdr:from>
    <xdr:to>
      <xdr:col>7</xdr:col>
      <xdr:colOff>331</xdr:colOff>
      <xdr:row>12</xdr:row>
      <xdr:rowOff>120492</xdr:rowOff>
    </xdr:to>
    <xdr:cxnSp macro="">
      <xdr:nvCxnSpPr>
        <xdr:cNvPr id="16" name="Straight Arrow Connector 15">
          <a:extLst>
            <a:ext uri="{FF2B5EF4-FFF2-40B4-BE49-F238E27FC236}">
              <a16:creationId xmlns:a16="http://schemas.microsoft.com/office/drawing/2014/main" id="{C7FAF258-F07F-4418-8C41-FF18477F9E23}"/>
            </a:ext>
          </a:extLst>
        </xdr:cNvPr>
        <xdr:cNvCxnSpPr/>
      </xdr:nvCxnSpPr>
      <xdr:spPr>
        <a:xfrm>
          <a:off x="12908280" y="2700338"/>
          <a:ext cx="39657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5603</xdr:colOff>
      <xdr:row>12</xdr:row>
      <xdr:rowOff>72839</xdr:rowOff>
    </xdr:from>
    <xdr:to>
      <xdr:col>10</xdr:col>
      <xdr:colOff>391991</xdr:colOff>
      <xdr:row>12</xdr:row>
      <xdr:rowOff>80596</xdr:rowOff>
    </xdr:to>
    <xdr:cxnSp macro="">
      <xdr:nvCxnSpPr>
        <xdr:cNvPr id="17" name="Straight Arrow Connector 16">
          <a:extLst>
            <a:ext uri="{FF2B5EF4-FFF2-40B4-BE49-F238E27FC236}">
              <a16:creationId xmlns:a16="http://schemas.microsoft.com/office/drawing/2014/main" id="{81A34F9F-A0CE-4911-A680-B3AE16AE867F}"/>
            </a:ext>
          </a:extLst>
        </xdr:cNvPr>
        <xdr:cNvCxnSpPr/>
      </xdr:nvCxnSpPr>
      <xdr:spPr>
        <a:xfrm>
          <a:off x="14453123" y="2663639"/>
          <a:ext cx="37876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8283</xdr:colOff>
      <xdr:row>8</xdr:row>
      <xdr:rowOff>98913</xdr:rowOff>
    </xdr:from>
    <xdr:to>
      <xdr:col>18</xdr:col>
      <xdr:colOff>388327</xdr:colOff>
      <xdr:row>8</xdr:row>
      <xdr:rowOff>99391</xdr:rowOff>
    </xdr:to>
    <xdr:cxnSp macro="">
      <xdr:nvCxnSpPr>
        <xdr:cNvPr id="18" name="Straight Arrow Connector 17">
          <a:extLst>
            <a:ext uri="{FF2B5EF4-FFF2-40B4-BE49-F238E27FC236}">
              <a16:creationId xmlns:a16="http://schemas.microsoft.com/office/drawing/2014/main" id="{C1418583-31A4-43DA-9013-D0CA676E244B}"/>
            </a:ext>
          </a:extLst>
        </xdr:cNvPr>
        <xdr:cNvCxnSpPr/>
      </xdr:nvCxnSpPr>
      <xdr:spPr>
        <a:xfrm flipV="1">
          <a:off x="17503803" y="1805793"/>
          <a:ext cx="37242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8750</xdr:colOff>
      <xdr:row>4</xdr:row>
      <xdr:rowOff>98914</xdr:rowOff>
    </xdr:from>
    <xdr:to>
      <xdr:col>11</xdr:col>
      <xdr:colOff>0</xdr:colOff>
      <xdr:row>4</xdr:row>
      <xdr:rowOff>101715</xdr:rowOff>
    </xdr:to>
    <xdr:cxnSp macro="">
      <xdr:nvCxnSpPr>
        <xdr:cNvPr id="20" name="Straight Arrow Connector 19">
          <a:extLst>
            <a:ext uri="{FF2B5EF4-FFF2-40B4-BE49-F238E27FC236}">
              <a16:creationId xmlns:a16="http://schemas.microsoft.com/office/drawing/2014/main" id="{F3CFAD05-255B-409F-AAD9-FBA7C2FB04D7}"/>
            </a:ext>
          </a:extLst>
        </xdr:cNvPr>
        <xdr:cNvCxnSpPr/>
      </xdr:nvCxnSpPr>
      <xdr:spPr>
        <a:xfrm flipV="1">
          <a:off x="14456270" y="921874"/>
          <a:ext cx="3722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290513</xdr:colOff>
      <xdr:row>8</xdr:row>
      <xdr:rowOff>95250</xdr:rowOff>
    </xdr:from>
    <xdr:to>
      <xdr:col>7</xdr:col>
      <xdr:colOff>0</xdr:colOff>
      <xdr:row>8</xdr:row>
      <xdr:rowOff>100853</xdr:rowOff>
    </xdr:to>
    <xdr:cxnSp macro="">
      <xdr:nvCxnSpPr>
        <xdr:cNvPr id="21" name="Straight Arrow Connector 20">
          <a:extLst>
            <a:ext uri="{FF2B5EF4-FFF2-40B4-BE49-F238E27FC236}">
              <a16:creationId xmlns:a16="http://schemas.microsoft.com/office/drawing/2014/main" id="{A3EAF164-200C-47C3-85A8-73591F25A329}"/>
            </a:ext>
          </a:extLst>
        </xdr:cNvPr>
        <xdr:cNvCxnSpPr/>
      </xdr:nvCxnSpPr>
      <xdr:spPr>
        <a:xfrm>
          <a:off x="12893993" y="1802130"/>
          <a:ext cx="41052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7327</xdr:colOff>
      <xdr:row>4</xdr:row>
      <xdr:rowOff>91587</xdr:rowOff>
    </xdr:from>
    <xdr:to>
      <xdr:col>14</xdr:col>
      <xdr:colOff>394231</xdr:colOff>
      <xdr:row>4</xdr:row>
      <xdr:rowOff>94388</xdr:rowOff>
    </xdr:to>
    <xdr:cxnSp macro="">
      <xdr:nvCxnSpPr>
        <xdr:cNvPr id="22" name="Straight Arrow Connector 21">
          <a:extLst>
            <a:ext uri="{FF2B5EF4-FFF2-40B4-BE49-F238E27FC236}">
              <a16:creationId xmlns:a16="http://schemas.microsoft.com/office/drawing/2014/main" id="{9E6B0EB3-A0A6-47B6-BBF0-4F91D6A7A5EE}"/>
            </a:ext>
          </a:extLst>
        </xdr:cNvPr>
        <xdr:cNvCxnSpPr/>
      </xdr:nvCxnSpPr>
      <xdr:spPr>
        <a:xfrm flipV="1">
          <a:off x="15978847" y="914547"/>
          <a:ext cx="37166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3663</xdr:colOff>
      <xdr:row>8</xdr:row>
      <xdr:rowOff>112705</xdr:rowOff>
    </xdr:from>
    <xdr:to>
      <xdr:col>15</xdr:col>
      <xdr:colOff>0</xdr:colOff>
      <xdr:row>8</xdr:row>
      <xdr:rowOff>115956</xdr:rowOff>
    </xdr:to>
    <xdr:cxnSp macro="">
      <xdr:nvCxnSpPr>
        <xdr:cNvPr id="23" name="Straight Arrow Connector 22">
          <a:extLst>
            <a:ext uri="{FF2B5EF4-FFF2-40B4-BE49-F238E27FC236}">
              <a16:creationId xmlns:a16="http://schemas.microsoft.com/office/drawing/2014/main" id="{C6A4392E-F682-448D-8264-225992182829}"/>
            </a:ext>
          </a:extLst>
        </xdr:cNvPr>
        <xdr:cNvCxnSpPr/>
      </xdr:nvCxnSpPr>
      <xdr:spPr>
        <a:xfrm>
          <a:off x="14451183" y="1819585"/>
          <a:ext cx="19013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181570</xdr:colOff>
      <xdr:row>5</xdr:row>
      <xdr:rowOff>179819</xdr:rowOff>
    </xdr:from>
    <xdr:to>
      <xdr:col>8</xdr:col>
      <xdr:colOff>182264</xdr:colOff>
      <xdr:row>6</xdr:row>
      <xdr:rowOff>101203</xdr:rowOff>
    </xdr:to>
    <xdr:cxnSp macro="">
      <xdr:nvCxnSpPr>
        <xdr:cNvPr id="24" name="Straight Connector 23">
          <a:extLst>
            <a:ext uri="{FF2B5EF4-FFF2-40B4-BE49-F238E27FC236}">
              <a16:creationId xmlns:a16="http://schemas.microsoft.com/office/drawing/2014/main" id="{B214A701-5840-466E-AA3F-B94E51D5D48B}"/>
            </a:ext>
          </a:extLst>
        </xdr:cNvPr>
        <xdr:cNvCxnSpPr/>
      </xdr:nvCxnSpPr>
      <xdr:spPr>
        <a:xfrm flipH="1">
          <a:off x="13867090" y="1185659"/>
          <a:ext cx="694" cy="18046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8</xdr:row>
      <xdr:rowOff>109903</xdr:rowOff>
    </xdr:from>
    <xdr:to>
      <xdr:col>23</xdr:col>
      <xdr:colOff>7327</xdr:colOff>
      <xdr:row>8</xdr:row>
      <xdr:rowOff>113567</xdr:rowOff>
    </xdr:to>
    <xdr:cxnSp macro="">
      <xdr:nvCxnSpPr>
        <xdr:cNvPr id="25" name="Straight Arrow Connector 24">
          <a:extLst>
            <a:ext uri="{FF2B5EF4-FFF2-40B4-BE49-F238E27FC236}">
              <a16:creationId xmlns:a16="http://schemas.microsoft.com/office/drawing/2014/main" id="{1834876C-060B-4B61-81C8-4CE33D16C030}"/>
            </a:ext>
          </a:extLst>
        </xdr:cNvPr>
        <xdr:cNvCxnSpPr/>
      </xdr:nvCxnSpPr>
      <xdr:spPr>
        <a:xfrm flipV="1">
          <a:off x="18973800" y="1816783"/>
          <a:ext cx="31974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187523</xdr:colOff>
      <xdr:row>14</xdr:row>
      <xdr:rowOff>10991</xdr:rowOff>
    </xdr:from>
    <xdr:to>
      <xdr:col>24</xdr:col>
      <xdr:colOff>219808</xdr:colOff>
      <xdr:row>15</xdr:row>
      <xdr:rowOff>125015</xdr:rowOff>
    </xdr:to>
    <xdr:cxnSp macro="">
      <xdr:nvCxnSpPr>
        <xdr:cNvPr id="26" name="Connector: Elbow 25">
          <a:extLst>
            <a:ext uri="{FF2B5EF4-FFF2-40B4-BE49-F238E27FC236}">
              <a16:creationId xmlns:a16="http://schemas.microsoft.com/office/drawing/2014/main" id="{A5D7FB2C-FC31-46B0-8273-0F6B80F7B334}"/>
            </a:ext>
          </a:extLst>
        </xdr:cNvPr>
        <xdr:cNvCxnSpPr/>
      </xdr:nvCxnSpPr>
      <xdr:spPr>
        <a:xfrm flipV="1">
          <a:off x="13873043" y="3119951"/>
          <a:ext cx="6013985" cy="37310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190499</xdr:colOff>
      <xdr:row>14</xdr:row>
      <xdr:rowOff>3663</xdr:rowOff>
    </xdr:from>
    <xdr:to>
      <xdr:col>8</xdr:col>
      <xdr:colOff>190500</xdr:colOff>
      <xdr:row>15</xdr:row>
      <xdr:rowOff>120894</xdr:rowOff>
    </xdr:to>
    <xdr:cxnSp macro="">
      <xdr:nvCxnSpPr>
        <xdr:cNvPr id="27" name="Straight Connector 26">
          <a:extLst>
            <a:ext uri="{FF2B5EF4-FFF2-40B4-BE49-F238E27FC236}">
              <a16:creationId xmlns:a16="http://schemas.microsoft.com/office/drawing/2014/main" id="{DD46A0E0-3617-4337-8CDB-7C4F142E76E9}"/>
            </a:ext>
          </a:extLst>
        </xdr:cNvPr>
        <xdr:cNvCxnSpPr/>
      </xdr:nvCxnSpPr>
      <xdr:spPr>
        <a:xfrm>
          <a:off x="13876019" y="3112623"/>
          <a:ext cx="1" cy="3763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169793</xdr:colOff>
      <xdr:row>10</xdr:row>
      <xdr:rowOff>2229</xdr:rowOff>
    </xdr:from>
    <xdr:to>
      <xdr:col>28</xdr:col>
      <xdr:colOff>172979</xdr:colOff>
      <xdr:row>10</xdr:row>
      <xdr:rowOff>173934</xdr:rowOff>
    </xdr:to>
    <xdr:cxnSp macro="">
      <xdr:nvCxnSpPr>
        <xdr:cNvPr id="28" name="Straight Arrow Connector 27">
          <a:extLst>
            <a:ext uri="{FF2B5EF4-FFF2-40B4-BE49-F238E27FC236}">
              <a16:creationId xmlns:a16="http://schemas.microsoft.com/office/drawing/2014/main" id="{86D76119-4795-41DF-B7DC-D114BDD52E85}"/>
            </a:ext>
          </a:extLst>
        </xdr:cNvPr>
        <xdr:cNvCxnSpPr/>
      </xdr:nvCxnSpPr>
      <xdr:spPr>
        <a:xfrm flipV="1">
          <a:off x="21383873" y="207486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0</xdr:colOff>
      <xdr:row>10</xdr:row>
      <xdr:rowOff>115956</xdr:rowOff>
    </xdr:from>
    <xdr:to>
      <xdr:col>28</xdr:col>
      <xdr:colOff>178076</xdr:colOff>
      <xdr:row>12</xdr:row>
      <xdr:rowOff>91109</xdr:rowOff>
    </xdr:to>
    <xdr:cxnSp macro="">
      <xdr:nvCxnSpPr>
        <xdr:cNvPr id="29" name="Connector: Elbow 28">
          <a:extLst>
            <a:ext uri="{FF2B5EF4-FFF2-40B4-BE49-F238E27FC236}">
              <a16:creationId xmlns:a16="http://schemas.microsoft.com/office/drawing/2014/main" id="{177A6F4C-5FF8-4095-8C8F-5B126F5EC9BF}"/>
            </a:ext>
          </a:extLst>
        </xdr:cNvPr>
        <xdr:cNvCxnSpPr/>
      </xdr:nvCxnSpPr>
      <xdr:spPr>
        <a:xfrm flipV="1">
          <a:off x="15971520" y="2188596"/>
          <a:ext cx="5420636" cy="493313"/>
        </a:xfrm>
        <a:prstGeom prst="bentConnector3">
          <a:avLst>
            <a:gd name="adj1" fmla="val 3565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284714</xdr:colOff>
      <xdr:row>4</xdr:row>
      <xdr:rowOff>76200</xdr:rowOff>
    </xdr:from>
    <xdr:to>
      <xdr:col>5</xdr:col>
      <xdr:colOff>295275</xdr:colOff>
      <xdr:row>12</xdr:row>
      <xdr:rowOff>114300</xdr:rowOff>
    </xdr:to>
    <xdr:cxnSp macro="">
      <xdr:nvCxnSpPr>
        <xdr:cNvPr id="31" name="Straight Connector 30">
          <a:extLst>
            <a:ext uri="{FF2B5EF4-FFF2-40B4-BE49-F238E27FC236}">
              <a16:creationId xmlns:a16="http://schemas.microsoft.com/office/drawing/2014/main" id="{D4DA1A3D-13CA-4C43-A64F-81A11F0EF489}"/>
            </a:ext>
          </a:extLst>
        </xdr:cNvPr>
        <xdr:cNvCxnSpPr/>
      </xdr:nvCxnSpPr>
      <xdr:spPr>
        <a:xfrm>
          <a:off x="12888194" y="899160"/>
          <a:ext cx="10561" cy="18059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175260</xdr:colOff>
      <xdr:row>5</xdr:row>
      <xdr:rowOff>198120</xdr:rowOff>
    </xdr:from>
    <xdr:to>
      <xdr:col>28</xdr:col>
      <xdr:colOff>178076</xdr:colOff>
      <xdr:row>7</xdr:row>
      <xdr:rowOff>4142</xdr:rowOff>
    </xdr:to>
    <xdr:cxnSp macro="">
      <xdr:nvCxnSpPr>
        <xdr:cNvPr id="33" name="Straight Connector 32">
          <a:extLst>
            <a:ext uri="{FF2B5EF4-FFF2-40B4-BE49-F238E27FC236}">
              <a16:creationId xmlns:a16="http://schemas.microsoft.com/office/drawing/2014/main" id="{49634DC3-D2A6-402E-998D-C487ADF27D43}"/>
            </a:ext>
          </a:extLst>
        </xdr:cNvPr>
        <xdr:cNvCxnSpPr/>
      </xdr:nvCxnSpPr>
      <xdr:spPr>
        <a:xfrm flipH="1" flipV="1">
          <a:off x="21389340" y="1203960"/>
          <a:ext cx="2816" cy="3241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161510</xdr:colOff>
      <xdr:row>7</xdr:row>
      <xdr:rowOff>0</xdr:rowOff>
    </xdr:from>
    <xdr:to>
      <xdr:col>32</xdr:col>
      <xdr:colOff>165652</xdr:colOff>
      <xdr:row>9</xdr:row>
      <xdr:rowOff>178076</xdr:rowOff>
    </xdr:to>
    <xdr:cxnSp macro="">
      <xdr:nvCxnSpPr>
        <xdr:cNvPr id="34" name="Straight Arrow Connector 33">
          <a:extLst>
            <a:ext uri="{FF2B5EF4-FFF2-40B4-BE49-F238E27FC236}">
              <a16:creationId xmlns:a16="http://schemas.microsoft.com/office/drawing/2014/main" id="{A55C4584-8AEF-4BF9-943C-C8A3F0B70457}"/>
            </a:ext>
          </a:extLst>
        </xdr:cNvPr>
        <xdr:cNvCxnSpPr/>
      </xdr:nvCxnSpPr>
      <xdr:spPr>
        <a:xfrm flipH="1">
          <a:off x="22808150" y="1524000"/>
          <a:ext cx="4142" cy="54383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6</xdr:row>
      <xdr:rowOff>104775</xdr:rowOff>
    </xdr:from>
    <xdr:to>
      <xdr:col>18</xdr:col>
      <xdr:colOff>147637</xdr:colOff>
      <xdr:row>8</xdr:row>
      <xdr:rowOff>95250</xdr:rowOff>
    </xdr:to>
    <xdr:cxnSp macro="">
      <xdr:nvCxnSpPr>
        <xdr:cNvPr id="35" name="Connector: Elbow 34">
          <a:extLst>
            <a:ext uri="{FF2B5EF4-FFF2-40B4-BE49-F238E27FC236}">
              <a16:creationId xmlns:a16="http://schemas.microsoft.com/office/drawing/2014/main" id="{77FF9F23-1A50-42E1-8D2F-469FA5B72DD9}"/>
            </a:ext>
          </a:extLst>
        </xdr:cNvPr>
        <xdr:cNvCxnSpPr/>
      </xdr:nvCxnSpPr>
      <xdr:spPr>
        <a:xfrm>
          <a:off x="13866495" y="1369695"/>
          <a:ext cx="3776662" cy="43243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361950</xdr:colOff>
      <xdr:row>4</xdr:row>
      <xdr:rowOff>71438</xdr:rowOff>
    </xdr:from>
    <xdr:to>
      <xdr:col>6</xdr:col>
      <xdr:colOff>375397</xdr:colOff>
      <xdr:row>4</xdr:row>
      <xdr:rowOff>72839</xdr:rowOff>
    </xdr:to>
    <xdr:cxnSp macro="">
      <xdr:nvCxnSpPr>
        <xdr:cNvPr id="2" name="Straight Arrow Connector 1">
          <a:extLst>
            <a:ext uri="{FF2B5EF4-FFF2-40B4-BE49-F238E27FC236}">
              <a16:creationId xmlns:a16="http://schemas.microsoft.com/office/drawing/2014/main" id="{C44F0887-4A61-43E2-AA7C-C43748CDE79B}"/>
            </a:ext>
          </a:extLst>
        </xdr:cNvPr>
        <xdr:cNvCxnSpPr/>
      </xdr:nvCxnSpPr>
      <xdr:spPr>
        <a:xfrm>
          <a:off x="12584430" y="894398"/>
          <a:ext cx="72210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304800</xdr:colOff>
      <xdr:row>12</xdr:row>
      <xdr:rowOff>109538</xdr:rowOff>
    </xdr:from>
    <xdr:to>
      <xdr:col>7</xdr:col>
      <xdr:colOff>331</xdr:colOff>
      <xdr:row>12</xdr:row>
      <xdr:rowOff>120492</xdr:rowOff>
    </xdr:to>
    <xdr:cxnSp macro="">
      <xdr:nvCxnSpPr>
        <xdr:cNvPr id="3" name="Straight Arrow Connector 2">
          <a:extLst>
            <a:ext uri="{FF2B5EF4-FFF2-40B4-BE49-F238E27FC236}">
              <a16:creationId xmlns:a16="http://schemas.microsoft.com/office/drawing/2014/main" id="{B9ACE3C9-5966-4FA3-99A2-556BD7A646F7}"/>
            </a:ext>
          </a:extLst>
        </xdr:cNvPr>
        <xdr:cNvCxnSpPr/>
      </xdr:nvCxnSpPr>
      <xdr:spPr>
        <a:xfrm>
          <a:off x="12908280" y="2700338"/>
          <a:ext cx="39657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5603</xdr:colOff>
      <xdr:row>12</xdr:row>
      <xdr:rowOff>72839</xdr:rowOff>
    </xdr:from>
    <xdr:to>
      <xdr:col>10</xdr:col>
      <xdr:colOff>391991</xdr:colOff>
      <xdr:row>12</xdr:row>
      <xdr:rowOff>80596</xdr:rowOff>
    </xdr:to>
    <xdr:cxnSp macro="">
      <xdr:nvCxnSpPr>
        <xdr:cNvPr id="4" name="Straight Arrow Connector 3">
          <a:extLst>
            <a:ext uri="{FF2B5EF4-FFF2-40B4-BE49-F238E27FC236}">
              <a16:creationId xmlns:a16="http://schemas.microsoft.com/office/drawing/2014/main" id="{8F3E04FB-EDAF-4129-AAEC-8084BA553E72}"/>
            </a:ext>
          </a:extLst>
        </xdr:cNvPr>
        <xdr:cNvCxnSpPr/>
      </xdr:nvCxnSpPr>
      <xdr:spPr>
        <a:xfrm>
          <a:off x="14453123" y="2663639"/>
          <a:ext cx="37876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8283</xdr:colOff>
      <xdr:row>8</xdr:row>
      <xdr:rowOff>98913</xdr:rowOff>
    </xdr:from>
    <xdr:to>
      <xdr:col>18</xdr:col>
      <xdr:colOff>388327</xdr:colOff>
      <xdr:row>8</xdr:row>
      <xdr:rowOff>99391</xdr:rowOff>
    </xdr:to>
    <xdr:cxnSp macro="">
      <xdr:nvCxnSpPr>
        <xdr:cNvPr id="5" name="Straight Arrow Connector 4">
          <a:extLst>
            <a:ext uri="{FF2B5EF4-FFF2-40B4-BE49-F238E27FC236}">
              <a16:creationId xmlns:a16="http://schemas.microsoft.com/office/drawing/2014/main" id="{D203C19D-0288-41D7-BA6B-9431A07BD7D9}"/>
            </a:ext>
          </a:extLst>
        </xdr:cNvPr>
        <xdr:cNvCxnSpPr/>
      </xdr:nvCxnSpPr>
      <xdr:spPr>
        <a:xfrm flipV="1">
          <a:off x="17503803" y="1805793"/>
          <a:ext cx="37242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3922</xdr:colOff>
      <xdr:row>12</xdr:row>
      <xdr:rowOff>95250</xdr:rowOff>
    </xdr:from>
    <xdr:to>
      <xdr:col>26</xdr:col>
      <xdr:colOff>794475</xdr:colOff>
      <xdr:row>12</xdr:row>
      <xdr:rowOff>104383</xdr:rowOff>
    </xdr:to>
    <xdr:cxnSp macro="">
      <xdr:nvCxnSpPr>
        <xdr:cNvPr id="6" name="Straight Arrow Connector 5">
          <a:extLst>
            <a:ext uri="{FF2B5EF4-FFF2-40B4-BE49-F238E27FC236}">
              <a16:creationId xmlns:a16="http://schemas.microsoft.com/office/drawing/2014/main" id="{C09FE4E8-35AE-439F-9365-854113190CA9}"/>
            </a:ext>
          </a:extLst>
        </xdr:cNvPr>
        <xdr:cNvCxnSpPr/>
      </xdr:nvCxnSpPr>
      <xdr:spPr>
        <a:xfrm>
          <a:off x="9021502" y="2403287"/>
          <a:ext cx="790553" cy="91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8750</xdr:colOff>
      <xdr:row>4</xdr:row>
      <xdr:rowOff>98914</xdr:rowOff>
    </xdr:from>
    <xdr:to>
      <xdr:col>11</xdr:col>
      <xdr:colOff>0</xdr:colOff>
      <xdr:row>4</xdr:row>
      <xdr:rowOff>101715</xdr:rowOff>
    </xdr:to>
    <xdr:cxnSp macro="">
      <xdr:nvCxnSpPr>
        <xdr:cNvPr id="7" name="Straight Arrow Connector 6">
          <a:extLst>
            <a:ext uri="{FF2B5EF4-FFF2-40B4-BE49-F238E27FC236}">
              <a16:creationId xmlns:a16="http://schemas.microsoft.com/office/drawing/2014/main" id="{7CD4A1DC-C5F2-4944-AA6F-B0148143C418}"/>
            </a:ext>
          </a:extLst>
        </xdr:cNvPr>
        <xdr:cNvCxnSpPr/>
      </xdr:nvCxnSpPr>
      <xdr:spPr>
        <a:xfrm flipV="1">
          <a:off x="14456270" y="921874"/>
          <a:ext cx="3722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290513</xdr:colOff>
      <xdr:row>8</xdr:row>
      <xdr:rowOff>95250</xdr:rowOff>
    </xdr:from>
    <xdr:to>
      <xdr:col>7</xdr:col>
      <xdr:colOff>0</xdr:colOff>
      <xdr:row>8</xdr:row>
      <xdr:rowOff>100853</xdr:rowOff>
    </xdr:to>
    <xdr:cxnSp macro="">
      <xdr:nvCxnSpPr>
        <xdr:cNvPr id="8" name="Straight Arrow Connector 7">
          <a:extLst>
            <a:ext uri="{FF2B5EF4-FFF2-40B4-BE49-F238E27FC236}">
              <a16:creationId xmlns:a16="http://schemas.microsoft.com/office/drawing/2014/main" id="{59D40453-D13C-4CD0-9543-EB5E453EEB11}"/>
            </a:ext>
          </a:extLst>
        </xdr:cNvPr>
        <xdr:cNvCxnSpPr/>
      </xdr:nvCxnSpPr>
      <xdr:spPr>
        <a:xfrm>
          <a:off x="12893993" y="1802130"/>
          <a:ext cx="41052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7327</xdr:colOff>
      <xdr:row>4</xdr:row>
      <xdr:rowOff>91587</xdr:rowOff>
    </xdr:from>
    <xdr:to>
      <xdr:col>14</xdr:col>
      <xdr:colOff>394231</xdr:colOff>
      <xdr:row>4</xdr:row>
      <xdr:rowOff>94388</xdr:rowOff>
    </xdr:to>
    <xdr:cxnSp macro="">
      <xdr:nvCxnSpPr>
        <xdr:cNvPr id="9" name="Straight Arrow Connector 8">
          <a:extLst>
            <a:ext uri="{FF2B5EF4-FFF2-40B4-BE49-F238E27FC236}">
              <a16:creationId xmlns:a16="http://schemas.microsoft.com/office/drawing/2014/main" id="{5D59FE44-8186-4B5D-9A19-89157A33427F}"/>
            </a:ext>
          </a:extLst>
        </xdr:cNvPr>
        <xdr:cNvCxnSpPr/>
      </xdr:nvCxnSpPr>
      <xdr:spPr>
        <a:xfrm flipV="1">
          <a:off x="15978847" y="914547"/>
          <a:ext cx="37166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3663</xdr:colOff>
      <xdr:row>8</xdr:row>
      <xdr:rowOff>112705</xdr:rowOff>
    </xdr:from>
    <xdr:to>
      <xdr:col>15</xdr:col>
      <xdr:colOff>0</xdr:colOff>
      <xdr:row>8</xdr:row>
      <xdr:rowOff>115956</xdr:rowOff>
    </xdr:to>
    <xdr:cxnSp macro="">
      <xdr:nvCxnSpPr>
        <xdr:cNvPr id="10" name="Straight Arrow Connector 9">
          <a:extLst>
            <a:ext uri="{FF2B5EF4-FFF2-40B4-BE49-F238E27FC236}">
              <a16:creationId xmlns:a16="http://schemas.microsoft.com/office/drawing/2014/main" id="{5DEB4BD4-9E98-4F56-87EA-E043866A067F}"/>
            </a:ext>
          </a:extLst>
        </xdr:cNvPr>
        <xdr:cNvCxnSpPr/>
      </xdr:nvCxnSpPr>
      <xdr:spPr>
        <a:xfrm>
          <a:off x="14451183" y="1819585"/>
          <a:ext cx="19013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181570</xdr:colOff>
      <xdr:row>5</xdr:row>
      <xdr:rowOff>179819</xdr:rowOff>
    </xdr:from>
    <xdr:to>
      <xdr:col>8</xdr:col>
      <xdr:colOff>182264</xdr:colOff>
      <xdr:row>6</xdr:row>
      <xdr:rowOff>101203</xdr:rowOff>
    </xdr:to>
    <xdr:cxnSp macro="">
      <xdr:nvCxnSpPr>
        <xdr:cNvPr id="11" name="Straight Connector 10">
          <a:extLst>
            <a:ext uri="{FF2B5EF4-FFF2-40B4-BE49-F238E27FC236}">
              <a16:creationId xmlns:a16="http://schemas.microsoft.com/office/drawing/2014/main" id="{96D6A4CB-368C-433E-981D-C0D359DD2ACC}"/>
            </a:ext>
          </a:extLst>
        </xdr:cNvPr>
        <xdr:cNvCxnSpPr/>
      </xdr:nvCxnSpPr>
      <xdr:spPr>
        <a:xfrm flipH="1">
          <a:off x="13867090" y="1185659"/>
          <a:ext cx="694" cy="18046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8</xdr:row>
      <xdr:rowOff>109903</xdr:rowOff>
    </xdr:from>
    <xdr:to>
      <xdr:col>23</xdr:col>
      <xdr:colOff>7327</xdr:colOff>
      <xdr:row>8</xdr:row>
      <xdr:rowOff>113567</xdr:rowOff>
    </xdr:to>
    <xdr:cxnSp macro="">
      <xdr:nvCxnSpPr>
        <xdr:cNvPr id="12" name="Straight Arrow Connector 11">
          <a:extLst>
            <a:ext uri="{FF2B5EF4-FFF2-40B4-BE49-F238E27FC236}">
              <a16:creationId xmlns:a16="http://schemas.microsoft.com/office/drawing/2014/main" id="{E71E5764-6830-45E4-BEB4-E915446423D9}"/>
            </a:ext>
          </a:extLst>
        </xdr:cNvPr>
        <xdr:cNvCxnSpPr/>
      </xdr:nvCxnSpPr>
      <xdr:spPr>
        <a:xfrm flipV="1">
          <a:off x="18973800" y="1816783"/>
          <a:ext cx="31974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187523</xdr:colOff>
      <xdr:row>14</xdr:row>
      <xdr:rowOff>10991</xdr:rowOff>
    </xdr:from>
    <xdr:to>
      <xdr:col>24</xdr:col>
      <xdr:colOff>219808</xdr:colOff>
      <xdr:row>15</xdr:row>
      <xdr:rowOff>125015</xdr:rowOff>
    </xdr:to>
    <xdr:cxnSp macro="">
      <xdr:nvCxnSpPr>
        <xdr:cNvPr id="13" name="Connector: Elbow 12">
          <a:extLst>
            <a:ext uri="{FF2B5EF4-FFF2-40B4-BE49-F238E27FC236}">
              <a16:creationId xmlns:a16="http://schemas.microsoft.com/office/drawing/2014/main" id="{6C24F0C6-DA2C-4C62-AA60-E57D987D8311}"/>
            </a:ext>
          </a:extLst>
        </xdr:cNvPr>
        <xdr:cNvCxnSpPr/>
      </xdr:nvCxnSpPr>
      <xdr:spPr>
        <a:xfrm flipV="1">
          <a:off x="13873043" y="3119951"/>
          <a:ext cx="6013985" cy="37310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190499</xdr:colOff>
      <xdr:row>14</xdr:row>
      <xdr:rowOff>3663</xdr:rowOff>
    </xdr:from>
    <xdr:to>
      <xdr:col>8</xdr:col>
      <xdr:colOff>190500</xdr:colOff>
      <xdr:row>15</xdr:row>
      <xdr:rowOff>120894</xdr:rowOff>
    </xdr:to>
    <xdr:cxnSp macro="">
      <xdr:nvCxnSpPr>
        <xdr:cNvPr id="14" name="Straight Connector 13">
          <a:extLst>
            <a:ext uri="{FF2B5EF4-FFF2-40B4-BE49-F238E27FC236}">
              <a16:creationId xmlns:a16="http://schemas.microsoft.com/office/drawing/2014/main" id="{D002E5FE-0357-498C-AC6A-525C35E61606}"/>
            </a:ext>
          </a:extLst>
        </xdr:cNvPr>
        <xdr:cNvCxnSpPr/>
      </xdr:nvCxnSpPr>
      <xdr:spPr>
        <a:xfrm>
          <a:off x="13876019" y="3112623"/>
          <a:ext cx="1" cy="3763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169793</xdr:colOff>
      <xdr:row>10</xdr:row>
      <xdr:rowOff>2229</xdr:rowOff>
    </xdr:from>
    <xdr:to>
      <xdr:col>28</xdr:col>
      <xdr:colOff>172979</xdr:colOff>
      <xdr:row>10</xdr:row>
      <xdr:rowOff>173934</xdr:rowOff>
    </xdr:to>
    <xdr:cxnSp macro="">
      <xdr:nvCxnSpPr>
        <xdr:cNvPr id="36" name="Straight Arrow Connector 35">
          <a:extLst>
            <a:ext uri="{FF2B5EF4-FFF2-40B4-BE49-F238E27FC236}">
              <a16:creationId xmlns:a16="http://schemas.microsoft.com/office/drawing/2014/main" id="{5B870734-CD56-4281-9B90-E0396485272E}"/>
            </a:ext>
          </a:extLst>
        </xdr:cNvPr>
        <xdr:cNvCxnSpPr/>
      </xdr:nvCxnSpPr>
      <xdr:spPr>
        <a:xfrm flipV="1">
          <a:off x="21383873" y="207486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284714</xdr:colOff>
      <xdr:row>4</xdr:row>
      <xdr:rowOff>76200</xdr:rowOff>
    </xdr:from>
    <xdr:to>
      <xdr:col>5</xdr:col>
      <xdr:colOff>295275</xdr:colOff>
      <xdr:row>12</xdr:row>
      <xdr:rowOff>114300</xdr:rowOff>
    </xdr:to>
    <xdr:cxnSp macro="">
      <xdr:nvCxnSpPr>
        <xdr:cNvPr id="39" name="Straight Connector 38">
          <a:extLst>
            <a:ext uri="{FF2B5EF4-FFF2-40B4-BE49-F238E27FC236}">
              <a16:creationId xmlns:a16="http://schemas.microsoft.com/office/drawing/2014/main" id="{DA10FEB5-5074-4CDC-A74C-E81151ADB491}"/>
            </a:ext>
          </a:extLst>
        </xdr:cNvPr>
        <xdr:cNvCxnSpPr/>
      </xdr:nvCxnSpPr>
      <xdr:spPr>
        <a:xfrm>
          <a:off x="12888194" y="899160"/>
          <a:ext cx="10561" cy="18059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121920</xdr:colOff>
      <xdr:row>5</xdr:row>
      <xdr:rowOff>210875</xdr:rowOff>
    </xdr:from>
    <xdr:to>
      <xdr:col>31</xdr:col>
      <xdr:colOff>0</xdr:colOff>
      <xdr:row>6</xdr:row>
      <xdr:rowOff>175260</xdr:rowOff>
    </xdr:to>
    <xdr:cxnSp macro="">
      <xdr:nvCxnSpPr>
        <xdr:cNvPr id="40" name="Connector: Elbow 39">
          <a:extLst>
            <a:ext uri="{FF2B5EF4-FFF2-40B4-BE49-F238E27FC236}">
              <a16:creationId xmlns:a16="http://schemas.microsoft.com/office/drawing/2014/main" id="{78B666BE-8201-4A75-A1FC-494C3BB896EB}"/>
            </a:ext>
          </a:extLst>
        </xdr:cNvPr>
        <xdr:cNvCxnSpPr/>
      </xdr:nvCxnSpPr>
      <xdr:spPr>
        <a:xfrm flipV="1">
          <a:off x="19789140" y="1216715"/>
          <a:ext cx="2476500" cy="223465"/>
        </a:xfrm>
        <a:prstGeom prst="bentConnector3">
          <a:avLst>
            <a:gd name="adj1" fmla="val 15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175260</xdr:colOff>
      <xdr:row>5</xdr:row>
      <xdr:rowOff>198120</xdr:rowOff>
    </xdr:from>
    <xdr:to>
      <xdr:col>28</xdr:col>
      <xdr:colOff>178076</xdr:colOff>
      <xdr:row>7</xdr:row>
      <xdr:rowOff>4142</xdr:rowOff>
    </xdr:to>
    <xdr:cxnSp macro="">
      <xdr:nvCxnSpPr>
        <xdr:cNvPr id="41" name="Straight Connector 40">
          <a:extLst>
            <a:ext uri="{FF2B5EF4-FFF2-40B4-BE49-F238E27FC236}">
              <a16:creationId xmlns:a16="http://schemas.microsoft.com/office/drawing/2014/main" id="{77C23A46-8A25-48F9-9486-F590D929A6EA}"/>
            </a:ext>
          </a:extLst>
        </xdr:cNvPr>
        <xdr:cNvCxnSpPr/>
      </xdr:nvCxnSpPr>
      <xdr:spPr>
        <a:xfrm flipH="1" flipV="1">
          <a:off x="21389340" y="1203960"/>
          <a:ext cx="2816" cy="3241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161510</xdr:colOff>
      <xdr:row>7</xdr:row>
      <xdr:rowOff>0</xdr:rowOff>
    </xdr:from>
    <xdr:to>
      <xdr:col>32</xdr:col>
      <xdr:colOff>165652</xdr:colOff>
      <xdr:row>9</xdr:row>
      <xdr:rowOff>178076</xdr:rowOff>
    </xdr:to>
    <xdr:cxnSp macro="">
      <xdr:nvCxnSpPr>
        <xdr:cNvPr id="42" name="Straight Arrow Connector 41">
          <a:extLst>
            <a:ext uri="{FF2B5EF4-FFF2-40B4-BE49-F238E27FC236}">
              <a16:creationId xmlns:a16="http://schemas.microsoft.com/office/drawing/2014/main" id="{9EAF6C99-1DEF-442D-83BD-7F3487A71B47}"/>
            </a:ext>
          </a:extLst>
        </xdr:cNvPr>
        <xdr:cNvCxnSpPr/>
      </xdr:nvCxnSpPr>
      <xdr:spPr>
        <a:xfrm flipH="1">
          <a:off x="22808150" y="1524000"/>
          <a:ext cx="4142" cy="54383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6</xdr:row>
      <xdr:rowOff>104775</xdr:rowOff>
    </xdr:from>
    <xdr:to>
      <xdr:col>18</xdr:col>
      <xdr:colOff>147637</xdr:colOff>
      <xdr:row>8</xdr:row>
      <xdr:rowOff>95250</xdr:rowOff>
    </xdr:to>
    <xdr:cxnSp macro="">
      <xdr:nvCxnSpPr>
        <xdr:cNvPr id="43" name="Connector: Elbow 42">
          <a:extLst>
            <a:ext uri="{FF2B5EF4-FFF2-40B4-BE49-F238E27FC236}">
              <a16:creationId xmlns:a16="http://schemas.microsoft.com/office/drawing/2014/main" id="{16BEF233-94EF-4C2A-8501-31C8EEC1DCD1}"/>
            </a:ext>
          </a:extLst>
        </xdr:cNvPr>
        <xdr:cNvCxnSpPr/>
      </xdr:nvCxnSpPr>
      <xdr:spPr>
        <a:xfrm>
          <a:off x="13866495" y="1369695"/>
          <a:ext cx="3776662" cy="43243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361950</xdr:colOff>
      <xdr:row>4</xdr:row>
      <xdr:rowOff>71438</xdr:rowOff>
    </xdr:from>
    <xdr:to>
      <xdr:col>6</xdr:col>
      <xdr:colOff>375397</xdr:colOff>
      <xdr:row>4</xdr:row>
      <xdr:rowOff>72839</xdr:rowOff>
    </xdr:to>
    <xdr:cxnSp macro="">
      <xdr:nvCxnSpPr>
        <xdr:cNvPr id="19" name="Straight Arrow Connector 18">
          <a:extLst>
            <a:ext uri="{FF2B5EF4-FFF2-40B4-BE49-F238E27FC236}">
              <a16:creationId xmlns:a16="http://schemas.microsoft.com/office/drawing/2014/main" id="{C96AB759-9180-4743-89F0-D6895431EE49}"/>
            </a:ext>
          </a:extLst>
        </xdr:cNvPr>
        <xdr:cNvCxnSpPr/>
      </xdr:nvCxnSpPr>
      <xdr:spPr>
        <a:xfrm>
          <a:off x="14014450" y="947738"/>
          <a:ext cx="80084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304800</xdr:colOff>
      <xdr:row>12</xdr:row>
      <xdr:rowOff>109538</xdr:rowOff>
    </xdr:from>
    <xdr:to>
      <xdr:col>7</xdr:col>
      <xdr:colOff>331</xdr:colOff>
      <xdr:row>12</xdr:row>
      <xdr:rowOff>120492</xdr:rowOff>
    </xdr:to>
    <xdr:cxnSp macro="">
      <xdr:nvCxnSpPr>
        <xdr:cNvPr id="37" name="Straight Arrow Connector 36">
          <a:extLst>
            <a:ext uri="{FF2B5EF4-FFF2-40B4-BE49-F238E27FC236}">
              <a16:creationId xmlns:a16="http://schemas.microsoft.com/office/drawing/2014/main" id="{17DA5B87-A82D-4045-B30C-20641902D080}"/>
            </a:ext>
          </a:extLst>
        </xdr:cNvPr>
        <xdr:cNvCxnSpPr/>
      </xdr:nvCxnSpPr>
      <xdr:spPr>
        <a:xfrm>
          <a:off x="14376400" y="2827338"/>
          <a:ext cx="47023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5603</xdr:colOff>
      <xdr:row>12</xdr:row>
      <xdr:rowOff>72839</xdr:rowOff>
    </xdr:from>
    <xdr:to>
      <xdr:col>10</xdr:col>
      <xdr:colOff>391991</xdr:colOff>
      <xdr:row>12</xdr:row>
      <xdr:rowOff>80596</xdr:rowOff>
    </xdr:to>
    <xdr:cxnSp macro="">
      <xdr:nvCxnSpPr>
        <xdr:cNvPr id="44" name="Straight Arrow Connector 43">
          <a:extLst>
            <a:ext uri="{FF2B5EF4-FFF2-40B4-BE49-F238E27FC236}">
              <a16:creationId xmlns:a16="http://schemas.microsoft.com/office/drawing/2014/main" id="{7368F451-4F4D-874F-A93F-B14BB17C1A55}"/>
            </a:ext>
          </a:extLst>
        </xdr:cNvPr>
        <xdr:cNvCxnSpPr/>
      </xdr:nvCxnSpPr>
      <xdr:spPr>
        <a:xfrm>
          <a:off x="16109203" y="2790639"/>
          <a:ext cx="38638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8283</xdr:colOff>
      <xdr:row>8</xdr:row>
      <xdr:rowOff>98913</xdr:rowOff>
    </xdr:from>
    <xdr:to>
      <xdr:col>18</xdr:col>
      <xdr:colOff>388327</xdr:colOff>
      <xdr:row>8</xdr:row>
      <xdr:rowOff>99391</xdr:rowOff>
    </xdr:to>
    <xdr:cxnSp macro="">
      <xdr:nvCxnSpPr>
        <xdr:cNvPr id="45" name="Straight Arrow Connector 44">
          <a:extLst>
            <a:ext uri="{FF2B5EF4-FFF2-40B4-BE49-F238E27FC236}">
              <a16:creationId xmlns:a16="http://schemas.microsoft.com/office/drawing/2014/main" id="{C25E7572-5A65-1A47-9AA9-D5A0C7C98A9F}"/>
            </a:ext>
          </a:extLst>
        </xdr:cNvPr>
        <xdr:cNvCxnSpPr/>
      </xdr:nvCxnSpPr>
      <xdr:spPr>
        <a:xfrm flipV="1">
          <a:off x="19464683" y="1902313"/>
          <a:ext cx="38004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8750</xdr:colOff>
      <xdr:row>4</xdr:row>
      <xdr:rowOff>98914</xdr:rowOff>
    </xdr:from>
    <xdr:to>
      <xdr:col>11</xdr:col>
      <xdr:colOff>0</xdr:colOff>
      <xdr:row>4</xdr:row>
      <xdr:rowOff>101715</xdr:rowOff>
    </xdr:to>
    <xdr:cxnSp macro="">
      <xdr:nvCxnSpPr>
        <xdr:cNvPr id="47" name="Straight Arrow Connector 46">
          <a:extLst>
            <a:ext uri="{FF2B5EF4-FFF2-40B4-BE49-F238E27FC236}">
              <a16:creationId xmlns:a16="http://schemas.microsoft.com/office/drawing/2014/main" id="{4DC9376B-A0F7-2842-99C1-7D2C3D0DE537}"/>
            </a:ext>
          </a:extLst>
        </xdr:cNvPr>
        <xdr:cNvCxnSpPr/>
      </xdr:nvCxnSpPr>
      <xdr:spPr>
        <a:xfrm flipV="1">
          <a:off x="16112350" y="975214"/>
          <a:ext cx="4103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290513</xdr:colOff>
      <xdr:row>8</xdr:row>
      <xdr:rowOff>95250</xdr:rowOff>
    </xdr:from>
    <xdr:to>
      <xdr:col>7</xdr:col>
      <xdr:colOff>0</xdr:colOff>
      <xdr:row>8</xdr:row>
      <xdr:rowOff>100853</xdr:rowOff>
    </xdr:to>
    <xdr:cxnSp macro="">
      <xdr:nvCxnSpPr>
        <xdr:cNvPr id="48" name="Straight Arrow Connector 47">
          <a:extLst>
            <a:ext uri="{FF2B5EF4-FFF2-40B4-BE49-F238E27FC236}">
              <a16:creationId xmlns:a16="http://schemas.microsoft.com/office/drawing/2014/main" id="{AC2F4055-9EA4-1D43-925E-7284BB8E77D6}"/>
            </a:ext>
          </a:extLst>
        </xdr:cNvPr>
        <xdr:cNvCxnSpPr/>
      </xdr:nvCxnSpPr>
      <xdr:spPr>
        <a:xfrm>
          <a:off x="14362113" y="1898650"/>
          <a:ext cx="48418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7327</xdr:colOff>
      <xdr:row>4</xdr:row>
      <xdr:rowOff>91587</xdr:rowOff>
    </xdr:from>
    <xdr:to>
      <xdr:col>14</xdr:col>
      <xdr:colOff>394231</xdr:colOff>
      <xdr:row>4</xdr:row>
      <xdr:rowOff>94388</xdr:rowOff>
    </xdr:to>
    <xdr:cxnSp macro="">
      <xdr:nvCxnSpPr>
        <xdr:cNvPr id="49" name="Straight Arrow Connector 48">
          <a:extLst>
            <a:ext uri="{FF2B5EF4-FFF2-40B4-BE49-F238E27FC236}">
              <a16:creationId xmlns:a16="http://schemas.microsoft.com/office/drawing/2014/main" id="{CC843329-73C4-2547-A675-CEFB8485701E}"/>
            </a:ext>
          </a:extLst>
        </xdr:cNvPr>
        <xdr:cNvCxnSpPr/>
      </xdr:nvCxnSpPr>
      <xdr:spPr>
        <a:xfrm flipV="1">
          <a:off x="17787327" y="967887"/>
          <a:ext cx="38690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3663</xdr:colOff>
      <xdr:row>8</xdr:row>
      <xdr:rowOff>112705</xdr:rowOff>
    </xdr:from>
    <xdr:to>
      <xdr:col>15</xdr:col>
      <xdr:colOff>0</xdr:colOff>
      <xdr:row>8</xdr:row>
      <xdr:rowOff>115956</xdr:rowOff>
    </xdr:to>
    <xdr:cxnSp macro="">
      <xdr:nvCxnSpPr>
        <xdr:cNvPr id="50" name="Straight Arrow Connector 49">
          <a:extLst>
            <a:ext uri="{FF2B5EF4-FFF2-40B4-BE49-F238E27FC236}">
              <a16:creationId xmlns:a16="http://schemas.microsoft.com/office/drawing/2014/main" id="{45ED4210-E783-9A46-B97F-95120FF107F3}"/>
            </a:ext>
          </a:extLst>
        </xdr:cNvPr>
        <xdr:cNvCxnSpPr/>
      </xdr:nvCxnSpPr>
      <xdr:spPr>
        <a:xfrm>
          <a:off x="16107263" y="1916105"/>
          <a:ext cx="20918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181570</xdr:colOff>
      <xdr:row>5</xdr:row>
      <xdr:rowOff>179819</xdr:rowOff>
    </xdr:from>
    <xdr:to>
      <xdr:col>8</xdr:col>
      <xdr:colOff>182264</xdr:colOff>
      <xdr:row>6</xdr:row>
      <xdr:rowOff>101203</xdr:rowOff>
    </xdr:to>
    <xdr:cxnSp macro="">
      <xdr:nvCxnSpPr>
        <xdr:cNvPr id="51" name="Straight Connector 50">
          <a:extLst>
            <a:ext uri="{FF2B5EF4-FFF2-40B4-BE49-F238E27FC236}">
              <a16:creationId xmlns:a16="http://schemas.microsoft.com/office/drawing/2014/main" id="{9122F5EA-9001-9D41-B9D8-913670D94571}"/>
            </a:ext>
          </a:extLst>
        </xdr:cNvPr>
        <xdr:cNvCxnSpPr/>
      </xdr:nvCxnSpPr>
      <xdr:spPr>
        <a:xfrm flipH="1">
          <a:off x="15446970" y="1246619"/>
          <a:ext cx="694" cy="1880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8</xdr:row>
      <xdr:rowOff>109903</xdr:rowOff>
    </xdr:from>
    <xdr:to>
      <xdr:col>23</xdr:col>
      <xdr:colOff>7327</xdr:colOff>
      <xdr:row>8</xdr:row>
      <xdr:rowOff>113567</xdr:rowOff>
    </xdr:to>
    <xdr:cxnSp macro="">
      <xdr:nvCxnSpPr>
        <xdr:cNvPr id="52" name="Straight Arrow Connector 51">
          <a:extLst>
            <a:ext uri="{FF2B5EF4-FFF2-40B4-BE49-F238E27FC236}">
              <a16:creationId xmlns:a16="http://schemas.microsoft.com/office/drawing/2014/main" id="{E2AD0E99-607C-C644-AAE8-862379EDA339}"/>
            </a:ext>
          </a:extLst>
        </xdr:cNvPr>
        <xdr:cNvCxnSpPr/>
      </xdr:nvCxnSpPr>
      <xdr:spPr>
        <a:xfrm flipV="1">
          <a:off x="21082000" y="1913303"/>
          <a:ext cx="35022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187523</xdr:colOff>
      <xdr:row>14</xdr:row>
      <xdr:rowOff>10991</xdr:rowOff>
    </xdr:from>
    <xdr:to>
      <xdr:col>24</xdr:col>
      <xdr:colOff>219808</xdr:colOff>
      <xdr:row>15</xdr:row>
      <xdr:rowOff>125015</xdr:rowOff>
    </xdr:to>
    <xdr:cxnSp macro="">
      <xdr:nvCxnSpPr>
        <xdr:cNvPr id="53" name="Connector: Elbow 79">
          <a:extLst>
            <a:ext uri="{FF2B5EF4-FFF2-40B4-BE49-F238E27FC236}">
              <a16:creationId xmlns:a16="http://schemas.microsoft.com/office/drawing/2014/main" id="{A1E5F72D-7BDA-7D4B-AC5F-67E65645DBEE}"/>
            </a:ext>
          </a:extLst>
        </xdr:cNvPr>
        <xdr:cNvCxnSpPr/>
      </xdr:nvCxnSpPr>
      <xdr:spPr>
        <a:xfrm flipV="1">
          <a:off x="15452923" y="3274891"/>
          <a:ext cx="6610885" cy="39342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190499</xdr:colOff>
      <xdr:row>14</xdr:row>
      <xdr:rowOff>3663</xdr:rowOff>
    </xdr:from>
    <xdr:to>
      <xdr:col>8</xdr:col>
      <xdr:colOff>190500</xdr:colOff>
      <xdr:row>15</xdr:row>
      <xdr:rowOff>120894</xdr:rowOff>
    </xdr:to>
    <xdr:cxnSp macro="">
      <xdr:nvCxnSpPr>
        <xdr:cNvPr id="54" name="Straight Connector 53">
          <a:extLst>
            <a:ext uri="{FF2B5EF4-FFF2-40B4-BE49-F238E27FC236}">
              <a16:creationId xmlns:a16="http://schemas.microsoft.com/office/drawing/2014/main" id="{AA619C75-ED02-D14A-83A8-234561E02206}"/>
            </a:ext>
          </a:extLst>
        </xdr:cNvPr>
        <xdr:cNvCxnSpPr/>
      </xdr:nvCxnSpPr>
      <xdr:spPr>
        <a:xfrm>
          <a:off x="15455899" y="3267563"/>
          <a:ext cx="1" cy="3966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169793</xdr:colOff>
      <xdr:row>10</xdr:row>
      <xdr:rowOff>2229</xdr:rowOff>
    </xdr:from>
    <xdr:to>
      <xdr:col>28</xdr:col>
      <xdr:colOff>172979</xdr:colOff>
      <xdr:row>10</xdr:row>
      <xdr:rowOff>173934</xdr:rowOff>
    </xdr:to>
    <xdr:cxnSp macro="">
      <xdr:nvCxnSpPr>
        <xdr:cNvPr id="55" name="Straight Arrow Connector 54">
          <a:extLst>
            <a:ext uri="{FF2B5EF4-FFF2-40B4-BE49-F238E27FC236}">
              <a16:creationId xmlns:a16="http://schemas.microsoft.com/office/drawing/2014/main" id="{D40879EF-C621-B049-863C-B93FC755B27B}"/>
            </a:ext>
          </a:extLst>
        </xdr:cNvPr>
        <xdr:cNvCxnSpPr/>
      </xdr:nvCxnSpPr>
      <xdr:spPr>
        <a:xfrm flipV="1">
          <a:off x="23715593" y="218662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6533</xdr:colOff>
      <xdr:row>4</xdr:row>
      <xdr:rowOff>142165</xdr:rowOff>
    </xdr:from>
    <xdr:to>
      <xdr:col>26</xdr:col>
      <xdr:colOff>220000</xdr:colOff>
      <xdr:row>10</xdr:row>
      <xdr:rowOff>116667</xdr:rowOff>
    </xdr:to>
    <xdr:cxnSp macro="">
      <xdr:nvCxnSpPr>
        <xdr:cNvPr id="57" name="Connector: Elbow 153">
          <a:extLst>
            <a:ext uri="{FF2B5EF4-FFF2-40B4-BE49-F238E27FC236}">
              <a16:creationId xmlns:a16="http://schemas.microsoft.com/office/drawing/2014/main" id="{FF9F5B6A-86A0-1349-9036-B8A5698622F7}"/>
            </a:ext>
          </a:extLst>
        </xdr:cNvPr>
        <xdr:cNvCxnSpPr/>
      </xdr:nvCxnSpPr>
      <xdr:spPr>
        <a:xfrm>
          <a:off x="6513200" y="915498"/>
          <a:ext cx="2643467" cy="1114502"/>
        </a:xfrm>
        <a:prstGeom prst="bentConnector3">
          <a:avLst>
            <a:gd name="adj1" fmla="val 10069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284714</xdr:colOff>
      <xdr:row>4</xdr:row>
      <xdr:rowOff>76200</xdr:rowOff>
    </xdr:from>
    <xdr:to>
      <xdr:col>5</xdr:col>
      <xdr:colOff>295275</xdr:colOff>
      <xdr:row>12</xdr:row>
      <xdr:rowOff>114300</xdr:rowOff>
    </xdr:to>
    <xdr:cxnSp macro="">
      <xdr:nvCxnSpPr>
        <xdr:cNvPr id="58" name="Straight Connector 57">
          <a:extLst>
            <a:ext uri="{FF2B5EF4-FFF2-40B4-BE49-F238E27FC236}">
              <a16:creationId xmlns:a16="http://schemas.microsoft.com/office/drawing/2014/main" id="{647C611F-D3D2-FC44-9B67-DD8A12A28983}"/>
            </a:ext>
          </a:extLst>
        </xdr:cNvPr>
        <xdr:cNvCxnSpPr/>
      </xdr:nvCxnSpPr>
      <xdr:spPr>
        <a:xfrm>
          <a:off x="14356314" y="952500"/>
          <a:ext cx="10561" cy="1879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175260</xdr:colOff>
      <xdr:row>5</xdr:row>
      <xdr:rowOff>198120</xdr:rowOff>
    </xdr:from>
    <xdr:to>
      <xdr:col>28</xdr:col>
      <xdr:colOff>178076</xdr:colOff>
      <xdr:row>7</xdr:row>
      <xdr:rowOff>4142</xdr:rowOff>
    </xdr:to>
    <xdr:cxnSp macro="">
      <xdr:nvCxnSpPr>
        <xdr:cNvPr id="60" name="Straight Connector 59">
          <a:extLst>
            <a:ext uri="{FF2B5EF4-FFF2-40B4-BE49-F238E27FC236}">
              <a16:creationId xmlns:a16="http://schemas.microsoft.com/office/drawing/2014/main" id="{37F8EE91-F0D7-784F-A49C-0CE088DEEE2D}"/>
            </a:ext>
          </a:extLst>
        </xdr:cNvPr>
        <xdr:cNvCxnSpPr/>
      </xdr:nvCxnSpPr>
      <xdr:spPr>
        <a:xfrm flipH="1" flipV="1">
          <a:off x="23721060" y="1264920"/>
          <a:ext cx="2816" cy="35212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161510</xdr:colOff>
      <xdr:row>7</xdr:row>
      <xdr:rowOff>0</xdr:rowOff>
    </xdr:from>
    <xdr:to>
      <xdr:col>32</xdr:col>
      <xdr:colOff>165652</xdr:colOff>
      <xdr:row>9</xdr:row>
      <xdr:rowOff>178076</xdr:rowOff>
    </xdr:to>
    <xdr:cxnSp macro="">
      <xdr:nvCxnSpPr>
        <xdr:cNvPr id="61" name="Straight Arrow Connector 60">
          <a:extLst>
            <a:ext uri="{FF2B5EF4-FFF2-40B4-BE49-F238E27FC236}">
              <a16:creationId xmlns:a16="http://schemas.microsoft.com/office/drawing/2014/main" id="{0F57346D-DE82-7E46-A818-330C23A62677}"/>
            </a:ext>
          </a:extLst>
        </xdr:cNvPr>
        <xdr:cNvCxnSpPr/>
      </xdr:nvCxnSpPr>
      <xdr:spPr>
        <a:xfrm flipH="1">
          <a:off x="25282110" y="1612900"/>
          <a:ext cx="4142" cy="55907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6</xdr:row>
      <xdr:rowOff>104775</xdr:rowOff>
    </xdr:from>
    <xdr:to>
      <xdr:col>18</xdr:col>
      <xdr:colOff>147637</xdr:colOff>
      <xdr:row>8</xdr:row>
      <xdr:rowOff>95250</xdr:rowOff>
    </xdr:to>
    <xdr:cxnSp macro="">
      <xdr:nvCxnSpPr>
        <xdr:cNvPr id="62" name="Connector: Elbow 191">
          <a:extLst>
            <a:ext uri="{FF2B5EF4-FFF2-40B4-BE49-F238E27FC236}">
              <a16:creationId xmlns:a16="http://schemas.microsoft.com/office/drawing/2014/main" id="{EC0B8FDE-10C7-344A-A3D6-C76A06A31C77}"/>
            </a:ext>
          </a:extLst>
        </xdr:cNvPr>
        <xdr:cNvCxnSpPr/>
      </xdr:nvCxnSpPr>
      <xdr:spPr>
        <a:xfrm>
          <a:off x="15446375" y="1438275"/>
          <a:ext cx="4157662" cy="46037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254000</xdr:colOff>
      <xdr:row>3</xdr:row>
      <xdr:rowOff>21167</xdr:rowOff>
    </xdr:from>
    <xdr:to>
      <xdr:col>14</xdr:col>
      <xdr:colOff>560917</xdr:colOff>
      <xdr:row>8</xdr:row>
      <xdr:rowOff>222250</xdr:rowOff>
    </xdr:to>
    <xdr:sp macro="" textlink="">
      <xdr:nvSpPr>
        <xdr:cNvPr id="2" name="Right Brace 1">
          <a:extLst>
            <a:ext uri="{FF2B5EF4-FFF2-40B4-BE49-F238E27FC236}">
              <a16:creationId xmlns:a16="http://schemas.microsoft.com/office/drawing/2014/main" id="{B93DF550-BFAD-0BB9-0269-834997AC13D2}"/>
            </a:ext>
          </a:extLst>
        </xdr:cNvPr>
        <xdr:cNvSpPr/>
      </xdr:nvSpPr>
      <xdr:spPr>
        <a:xfrm>
          <a:off x="14266333" y="762000"/>
          <a:ext cx="306917" cy="1428750"/>
        </a:xfrm>
        <a:prstGeom prst="righ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l"/>
          <a:endParaRPr lang="en-NZ" sz="1100"/>
        </a:p>
      </xdr:txBody>
    </xdr:sp>
    <xdr:clientData/>
  </xdr:twoCellAnchor>
  <xdr:twoCellAnchor>
    <xdr:from>
      <xdr:col>14</xdr:col>
      <xdr:colOff>158750</xdr:colOff>
      <xdr:row>11</xdr:row>
      <xdr:rowOff>148167</xdr:rowOff>
    </xdr:from>
    <xdr:to>
      <xdr:col>14</xdr:col>
      <xdr:colOff>465667</xdr:colOff>
      <xdr:row>25</xdr:row>
      <xdr:rowOff>0</xdr:rowOff>
    </xdr:to>
    <xdr:sp macro="" textlink="">
      <xdr:nvSpPr>
        <xdr:cNvPr id="3" name="Right Brace 2">
          <a:extLst>
            <a:ext uri="{FF2B5EF4-FFF2-40B4-BE49-F238E27FC236}">
              <a16:creationId xmlns:a16="http://schemas.microsoft.com/office/drawing/2014/main" id="{A6FCE339-2380-4089-AB1E-39359B267D54}"/>
            </a:ext>
          </a:extLst>
        </xdr:cNvPr>
        <xdr:cNvSpPr/>
      </xdr:nvSpPr>
      <xdr:spPr>
        <a:xfrm>
          <a:off x="14171083" y="2846917"/>
          <a:ext cx="306917" cy="3312583"/>
        </a:xfrm>
        <a:prstGeom prst="righ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l"/>
          <a:endParaRPr lang="en-NZ"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361950</xdr:colOff>
      <xdr:row>4</xdr:row>
      <xdr:rowOff>71438</xdr:rowOff>
    </xdr:from>
    <xdr:to>
      <xdr:col>18</xdr:col>
      <xdr:colOff>375397</xdr:colOff>
      <xdr:row>4</xdr:row>
      <xdr:rowOff>72839</xdr:rowOff>
    </xdr:to>
    <xdr:cxnSp macro="">
      <xdr:nvCxnSpPr>
        <xdr:cNvPr id="2" name="Straight Arrow Connector 1">
          <a:extLst>
            <a:ext uri="{FF2B5EF4-FFF2-40B4-BE49-F238E27FC236}">
              <a16:creationId xmlns:a16="http://schemas.microsoft.com/office/drawing/2014/main" id="{5106A31B-1641-47C0-A900-D0CE63AF9BB6}"/>
            </a:ext>
          </a:extLst>
        </xdr:cNvPr>
        <xdr:cNvCxnSpPr/>
      </xdr:nvCxnSpPr>
      <xdr:spPr>
        <a:xfrm>
          <a:off x="12653010" y="894398"/>
          <a:ext cx="72210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304800</xdr:colOff>
      <xdr:row>12</xdr:row>
      <xdr:rowOff>109538</xdr:rowOff>
    </xdr:from>
    <xdr:to>
      <xdr:col>19</xdr:col>
      <xdr:colOff>331</xdr:colOff>
      <xdr:row>12</xdr:row>
      <xdr:rowOff>120492</xdr:rowOff>
    </xdr:to>
    <xdr:cxnSp macro="">
      <xdr:nvCxnSpPr>
        <xdr:cNvPr id="3" name="Straight Arrow Connector 2">
          <a:extLst>
            <a:ext uri="{FF2B5EF4-FFF2-40B4-BE49-F238E27FC236}">
              <a16:creationId xmlns:a16="http://schemas.microsoft.com/office/drawing/2014/main" id="{CBEACC54-96B8-4CD2-AD04-05D3F8F15F4F}"/>
            </a:ext>
          </a:extLst>
        </xdr:cNvPr>
        <xdr:cNvCxnSpPr/>
      </xdr:nvCxnSpPr>
      <xdr:spPr>
        <a:xfrm>
          <a:off x="12976860" y="2700338"/>
          <a:ext cx="39657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5603</xdr:colOff>
      <xdr:row>12</xdr:row>
      <xdr:rowOff>72839</xdr:rowOff>
    </xdr:from>
    <xdr:to>
      <xdr:col>22</xdr:col>
      <xdr:colOff>391991</xdr:colOff>
      <xdr:row>12</xdr:row>
      <xdr:rowOff>80596</xdr:rowOff>
    </xdr:to>
    <xdr:cxnSp macro="">
      <xdr:nvCxnSpPr>
        <xdr:cNvPr id="4" name="Straight Arrow Connector 3">
          <a:extLst>
            <a:ext uri="{FF2B5EF4-FFF2-40B4-BE49-F238E27FC236}">
              <a16:creationId xmlns:a16="http://schemas.microsoft.com/office/drawing/2014/main" id="{2F7C6D88-35DC-4ED9-9E6D-AC707A581F93}"/>
            </a:ext>
          </a:extLst>
        </xdr:cNvPr>
        <xdr:cNvCxnSpPr/>
      </xdr:nvCxnSpPr>
      <xdr:spPr>
        <a:xfrm>
          <a:off x="14521703" y="2663639"/>
          <a:ext cx="37876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8283</xdr:colOff>
      <xdr:row>8</xdr:row>
      <xdr:rowOff>98913</xdr:rowOff>
    </xdr:from>
    <xdr:to>
      <xdr:col>30</xdr:col>
      <xdr:colOff>388327</xdr:colOff>
      <xdr:row>8</xdr:row>
      <xdr:rowOff>99391</xdr:rowOff>
    </xdr:to>
    <xdr:cxnSp macro="">
      <xdr:nvCxnSpPr>
        <xdr:cNvPr id="5" name="Straight Arrow Connector 4">
          <a:extLst>
            <a:ext uri="{FF2B5EF4-FFF2-40B4-BE49-F238E27FC236}">
              <a16:creationId xmlns:a16="http://schemas.microsoft.com/office/drawing/2014/main" id="{0A2CE681-8721-4969-9330-CF73CFF40C98}"/>
            </a:ext>
          </a:extLst>
        </xdr:cNvPr>
        <xdr:cNvCxnSpPr/>
      </xdr:nvCxnSpPr>
      <xdr:spPr>
        <a:xfrm flipV="1">
          <a:off x="17572383" y="1805793"/>
          <a:ext cx="37242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3922</xdr:colOff>
      <xdr:row>12</xdr:row>
      <xdr:rowOff>95250</xdr:rowOff>
    </xdr:from>
    <xdr:to>
      <xdr:col>38</xdr:col>
      <xdr:colOff>392205</xdr:colOff>
      <xdr:row>12</xdr:row>
      <xdr:rowOff>100853</xdr:rowOff>
    </xdr:to>
    <xdr:cxnSp macro="">
      <xdr:nvCxnSpPr>
        <xdr:cNvPr id="6" name="Straight Arrow Connector 5">
          <a:extLst>
            <a:ext uri="{FF2B5EF4-FFF2-40B4-BE49-F238E27FC236}">
              <a16:creationId xmlns:a16="http://schemas.microsoft.com/office/drawing/2014/main" id="{6C105E5F-15FF-4F53-BFA7-ECA94111ACA2}"/>
            </a:ext>
          </a:extLst>
        </xdr:cNvPr>
        <xdr:cNvCxnSpPr/>
      </xdr:nvCxnSpPr>
      <xdr:spPr>
        <a:xfrm>
          <a:off x="20524582" y="2686050"/>
          <a:ext cx="380663"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8750</xdr:colOff>
      <xdr:row>4</xdr:row>
      <xdr:rowOff>98914</xdr:rowOff>
    </xdr:from>
    <xdr:to>
      <xdr:col>23</xdr:col>
      <xdr:colOff>0</xdr:colOff>
      <xdr:row>4</xdr:row>
      <xdr:rowOff>101715</xdr:rowOff>
    </xdr:to>
    <xdr:cxnSp macro="">
      <xdr:nvCxnSpPr>
        <xdr:cNvPr id="7" name="Straight Arrow Connector 6">
          <a:extLst>
            <a:ext uri="{FF2B5EF4-FFF2-40B4-BE49-F238E27FC236}">
              <a16:creationId xmlns:a16="http://schemas.microsoft.com/office/drawing/2014/main" id="{A1974C71-8B5E-4C38-9447-C14840A2A923}"/>
            </a:ext>
          </a:extLst>
        </xdr:cNvPr>
        <xdr:cNvCxnSpPr/>
      </xdr:nvCxnSpPr>
      <xdr:spPr>
        <a:xfrm flipV="1">
          <a:off x="14524850" y="921874"/>
          <a:ext cx="3722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290513</xdr:colOff>
      <xdr:row>8</xdr:row>
      <xdr:rowOff>95250</xdr:rowOff>
    </xdr:from>
    <xdr:to>
      <xdr:col>19</xdr:col>
      <xdr:colOff>0</xdr:colOff>
      <xdr:row>8</xdr:row>
      <xdr:rowOff>100853</xdr:rowOff>
    </xdr:to>
    <xdr:cxnSp macro="">
      <xdr:nvCxnSpPr>
        <xdr:cNvPr id="8" name="Straight Arrow Connector 7">
          <a:extLst>
            <a:ext uri="{FF2B5EF4-FFF2-40B4-BE49-F238E27FC236}">
              <a16:creationId xmlns:a16="http://schemas.microsoft.com/office/drawing/2014/main" id="{94793E8E-E35C-4435-80FF-6E31AA9976C6}"/>
            </a:ext>
          </a:extLst>
        </xdr:cNvPr>
        <xdr:cNvCxnSpPr/>
      </xdr:nvCxnSpPr>
      <xdr:spPr>
        <a:xfrm>
          <a:off x="12962573" y="1802130"/>
          <a:ext cx="41052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7327</xdr:colOff>
      <xdr:row>4</xdr:row>
      <xdr:rowOff>91587</xdr:rowOff>
    </xdr:from>
    <xdr:to>
      <xdr:col>26</xdr:col>
      <xdr:colOff>394231</xdr:colOff>
      <xdr:row>4</xdr:row>
      <xdr:rowOff>94388</xdr:rowOff>
    </xdr:to>
    <xdr:cxnSp macro="">
      <xdr:nvCxnSpPr>
        <xdr:cNvPr id="9" name="Straight Arrow Connector 8">
          <a:extLst>
            <a:ext uri="{FF2B5EF4-FFF2-40B4-BE49-F238E27FC236}">
              <a16:creationId xmlns:a16="http://schemas.microsoft.com/office/drawing/2014/main" id="{92CE5439-2BBE-4EDA-8898-0CF2096E8722}"/>
            </a:ext>
          </a:extLst>
        </xdr:cNvPr>
        <xdr:cNvCxnSpPr/>
      </xdr:nvCxnSpPr>
      <xdr:spPr>
        <a:xfrm flipV="1">
          <a:off x="16047427" y="914547"/>
          <a:ext cx="37166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3663</xdr:colOff>
      <xdr:row>8</xdr:row>
      <xdr:rowOff>112705</xdr:rowOff>
    </xdr:from>
    <xdr:to>
      <xdr:col>27</xdr:col>
      <xdr:colOff>0</xdr:colOff>
      <xdr:row>8</xdr:row>
      <xdr:rowOff>115956</xdr:rowOff>
    </xdr:to>
    <xdr:cxnSp macro="">
      <xdr:nvCxnSpPr>
        <xdr:cNvPr id="10" name="Straight Arrow Connector 9">
          <a:extLst>
            <a:ext uri="{FF2B5EF4-FFF2-40B4-BE49-F238E27FC236}">
              <a16:creationId xmlns:a16="http://schemas.microsoft.com/office/drawing/2014/main" id="{71339868-6E27-41F4-8C9C-73DDF9116445}"/>
            </a:ext>
          </a:extLst>
        </xdr:cNvPr>
        <xdr:cNvCxnSpPr/>
      </xdr:nvCxnSpPr>
      <xdr:spPr>
        <a:xfrm>
          <a:off x="14519763" y="1819585"/>
          <a:ext cx="19013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181570</xdr:colOff>
      <xdr:row>5</xdr:row>
      <xdr:rowOff>179819</xdr:rowOff>
    </xdr:from>
    <xdr:to>
      <xdr:col>20</xdr:col>
      <xdr:colOff>182264</xdr:colOff>
      <xdr:row>6</xdr:row>
      <xdr:rowOff>101203</xdr:rowOff>
    </xdr:to>
    <xdr:cxnSp macro="">
      <xdr:nvCxnSpPr>
        <xdr:cNvPr id="11" name="Straight Connector 10">
          <a:extLst>
            <a:ext uri="{FF2B5EF4-FFF2-40B4-BE49-F238E27FC236}">
              <a16:creationId xmlns:a16="http://schemas.microsoft.com/office/drawing/2014/main" id="{9D06BFFF-34E4-42B9-8B4F-F5EB4DFF02E3}"/>
            </a:ext>
          </a:extLst>
        </xdr:cNvPr>
        <xdr:cNvCxnSpPr/>
      </xdr:nvCxnSpPr>
      <xdr:spPr>
        <a:xfrm flipH="1">
          <a:off x="13935670" y="1185659"/>
          <a:ext cx="694" cy="18046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0</xdr:colOff>
      <xdr:row>8</xdr:row>
      <xdr:rowOff>109903</xdr:rowOff>
    </xdr:from>
    <xdr:to>
      <xdr:col>35</xdr:col>
      <xdr:colOff>7327</xdr:colOff>
      <xdr:row>8</xdr:row>
      <xdr:rowOff>113567</xdr:rowOff>
    </xdr:to>
    <xdr:cxnSp macro="">
      <xdr:nvCxnSpPr>
        <xdr:cNvPr id="12" name="Straight Arrow Connector 11">
          <a:extLst>
            <a:ext uri="{FF2B5EF4-FFF2-40B4-BE49-F238E27FC236}">
              <a16:creationId xmlns:a16="http://schemas.microsoft.com/office/drawing/2014/main" id="{FE745220-21A2-4A97-940B-E0569CF345F0}"/>
            </a:ext>
          </a:extLst>
        </xdr:cNvPr>
        <xdr:cNvCxnSpPr/>
      </xdr:nvCxnSpPr>
      <xdr:spPr>
        <a:xfrm flipV="1">
          <a:off x="19042380" y="1816783"/>
          <a:ext cx="31974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187523</xdr:colOff>
      <xdr:row>14</xdr:row>
      <xdr:rowOff>10991</xdr:rowOff>
    </xdr:from>
    <xdr:to>
      <xdr:col>36</xdr:col>
      <xdr:colOff>219808</xdr:colOff>
      <xdr:row>15</xdr:row>
      <xdr:rowOff>125015</xdr:rowOff>
    </xdr:to>
    <xdr:cxnSp macro="">
      <xdr:nvCxnSpPr>
        <xdr:cNvPr id="13" name="Connector: Elbow 12">
          <a:extLst>
            <a:ext uri="{FF2B5EF4-FFF2-40B4-BE49-F238E27FC236}">
              <a16:creationId xmlns:a16="http://schemas.microsoft.com/office/drawing/2014/main" id="{1B8547E2-9D71-43F8-81F5-B7BC1392FE6E}"/>
            </a:ext>
          </a:extLst>
        </xdr:cNvPr>
        <xdr:cNvCxnSpPr/>
      </xdr:nvCxnSpPr>
      <xdr:spPr>
        <a:xfrm flipV="1">
          <a:off x="13941623" y="3119951"/>
          <a:ext cx="6013985" cy="37310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190499</xdr:colOff>
      <xdr:row>14</xdr:row>
      <xdr:rowOff>3663</xdr:rowOff>
    </xdr:from>
    <xdr:to>
      <xdr:col>20</xdr:col>
      <xdr:colOff>190500</xdr:colOff>
      <xdr:row>15</xdr:row>
      <xdr:rowOff>120894</xdr:rowOff>
    </xdr:to>
    <xdr:cxnSp macro="">
      <xdr:nvCxnSpPr>
        <xdr:cNvPr id="14" name="Straight Connector 13">
          <a:extLst>
            <a:ext uri="{FF2B5EF4-FFF2-40B4-BE49-F238E27FC236}">
              <a16:creationId xmlns:a16="http://schemas.microsoft.com/office/drawing/2014/main" id="{BAF9A493-D817-4057-9B93-57E338837E02}"/>
            </a:ext>
          </a:extLst>
        </xdr:cNvPr>
        <xdr:cNvCxnSpPr/>
      </xdr:nvCxnSpPr>
      <xdr:spPr>
        <a:xfrm>
          <a:off x="13944599" y="3112623"/>
          <a:ext cx="1" cy="3763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169793</xdr:colOff>
      <xdr:row>10</xdr:row>
      <xdr:rowOff>2229</xdr:rowOff>
    </xdr:from>
    <xdr:to>
      <xdr:col>40</xdr:col>
      <xdr:colOff>172979</xdr:colOff>
      <xdr:row>10</xdr:row>
      <xdr:rowOff>173934</xdr:rowOff>
    </xdr:to>
    <xdr:cxnSp macro="">
      <xdr:nvCxnSpPr>
        <xdr:cNvPr id="15" name="Straight Arrow Connector 14">
          <a:extLst>
            <a:ext uri="{FF2B5EF4-FFF2-40B4-BE49-F238E27FC236}">
              <a16:creationId xmlns:a16="http://schemas.microsoft.com/office/drawing/2014/main" id="{C3CCE6A3-EB12-4146-876F-80927FA68FC3}"/>
            </a:ext>
          </a:extLst>
        </xdr:cNvPr>
        <xdr:cNvCxnSpPr/>
      </xdr:nvCxnSpPr>
      <xdr:spPr>
        <a:xfrm flipV="1">
          <a:off x="21452453" y="207486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10</xdr:row>
      <xdr:rowOff>115956</xdr:rowOff>
    </xdr:from>
    <xdr:to>
      <xdr:col>40</xdr:col>
      <xdr:colOff>178076</xdr:colOff>
      <xdr:row>12</xdr:row>
      <xdr:rowOff>91109</xdr:rowOff>
    </xdr:to>
    <xdr:cxnSp macro="">
      <xdr:nvCxnSpPr>
        <xdr:cNvPr id="16" name="Connector: Elbow 15">
          <a:extLst>
            <a:ext uri="{FF2B5EF4-FFF2-40B4-BE49-F238E27FC236}">
              <a16:creationId xmlns:a16="http://schemas.microsoft.com/office/drawing/2014/main" id="{6A81EC62-F797-4DAC-8765-8EF10BF73882}"/>
            </a:ext>
          </a:extLst>
        </xdr:cNvPr>
        <xdr:cNvCxnSpPr/>
      </xdr:nvCxnSpPr>
      <xdr:spPr>
        <a:xfrm flipV="1">
          <a:off x="16040100" y="2188596"/>
          <a:ext cx="5420636" cy="493313"/>
        </a:xfrm>
        <a:prstGeom prst="bentConnector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0</xdr:colOff>
      <xdr:row>4</xdr:row>
      <xdr:rowOff>91109</xdr:rowOff>
    </xdr:from>
    <xdr:to>
      <xdr:col>38</xdr:col>
      <xdr:colOff>248478</xdr:colOff>
      <xdr:row>10</xdr:row>
      <xdr:rowOff>115956</xdr:rowOff>
    </xdr:to>
    <xdr:cxnSp macro="">
      <xdr:nvCxnSpPr>
        <xdr:cNvPr id="17" name="Connector: Elbow 16">
          <a:extLst>
            <a:ext uri="{FF2B5EF4-FFF2-40B4-BE49-F238E27FC236}">
              <a16:creationId xmlns:a16="http://schemas.microsoft.com/office/drawing/2014/main" id="{7EA97550-5E9E-4E80-919A-E29BB7FBBD2E}"/>
            </a:ext>
          </a:extLst>
        </xdr:cNvPr>
        <xdr:cNvCxnSpPr/>
      </xdr:nvCxnSpPr>
      <xdr:spPr>
        <a:xfrm>
          <a:off x="17564100" y="914069"/>
          <a:ext cx="3205038" cy="1274527"/>
        </a:xfrm>
        <a:prstGeom prst="bentConnector3">
          <a:avLst>
            <a:gd name="adj1" fmla="val 9812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284714</xdr:colOff>
      <xdr:row>4</xdr:row>
      <xdr:rowOff>76200</xdr:rowOff>
    </xdr:from>
    <xdr:to>
      <xdr:col>17</xdr:col>
      <xdr:colOff>295275</xdr:colOff>
      <xdr:row>12</xdr:row>
      <xdr:rowOff>114300</xdr:rowOff>
    </xdr:to>
    <xdr:cxnSp macro="">
      <xdr:nvCxnSpPr>
        <xdr:cNvPr id="18" name="Straight Connector 17">
          <a:extLst>
            <a:ext uri="{FF2B5EF4-FFF2-40B4-BE49-F238E27FC236}">
              <a16:creationId xmlns:a16="http://schemas.microsoft.com/office/drawing/2014/main" id="{DE3EC7CD-E1C0-436B-8E1A-9F20E865F2EC}"/>
            </a:ext>
          </a:extLst>
        </xdr:cNvPr>
        <xdr:cNvCxnSpPr/>
      </xdr:nvCxnSpPr>
      <xdr:spPr>
        <a:xfrm>
          <a:off x="12956774" y="899160"/>
          <a:ext cx="10561" cy="18059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121920</xdr:colOff>
      <xdr:row>5</xdr:row>
      <xdr:rowOff>210875</xdr:rowOff>
    </xdr:from>
    <xdr:to>
      <xdr:col>43</xdr:col>
      <xdr:colOff>0</xdr:colOff>
      <xdr:row>6</xdr:row>
      <xdr:rowOff>175260</xdr:rowOff>
    </xdr:to>
    <xdr:cxnSp macro="">
      <xdr:nvCxnSpPr>
        <xdr:cNvPr id="19" name="Connector: Elbow 18">
          <a:extLst>
            <a:ext uri="{FF2B5EF4-FFF2-40B4-BE49-F238E27FC236}">
              <a16:creationId xmlns:a16="http://schemas.microsoft.com/office/drawing/2014/main" id="{9F634B26-F75F-4046-823E-BE571536A87E}"/>
            </a:ext>
          </a:extLst>
        </xdr:cNvPr>
        <xdr:cNvCxnSpPr/>
      </xdr:nvCxnSpPr>
      <xdr:spPr>
        <a:xfrm flipV="1">
          <a:off x="19857720" y="1216715"/>
          <a:ext cx="2476500" cy="223465"/>
        </a:xfrm>
        <a:prstGeom prst="bentConnector3">
          <a:avLst>
            <a:gd name="adj1" fmla="val 169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175260</xdr:colOff>
      <xdr:row>5</xdr:row>
      <xdr:rowOff>198120</xdr:rowOff>
    </xdr:from>
    <xdr:to>
      <xdr:col>40</xdr:col>
      <xdr:colOff>178076</xdr:colOff>
      <xdr:row>7</xdr:row>
      <xdr:rowOff>4142</xdr:rowOff>
    </xdr:to>
    <xdr:cxnSp macro="">
      <xdr:nvCxnSpPr>
        <xdr:cNvPr id="20" name="Straight Connector 19">
          <a:extLst>
            <a:ext uri="{FF2B5EF4-FFF2-40B4-BE49-F238E27FC236}">
              <a16:creationId xmlns:a16="http://schemas.microsoft.com/office/drawing/2014/main" id="{3DF9613A-22FE-47EA-A33E-16E1ED4241DE}"/>
            </a:ext>
          </a:extLst>
        </xdr:cNvPr>
        <xdr:cNvCxnSpPr/>
      </xdr:nvCxnSpPr>
      <xdr:spPr>
        <a:xfrm flipH="1" flipV="1">
          <a:off x="21457920" y="1203960"/>
          <a:ext cx="2816" cy="3241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161510</xdr:colOff>
      <xdr:row>7</xdr:row>
      <xdr:rowOff>0</xdr:rowOff>
    </xdr:from>
    <xdr:to>
      <xdr:col>44</xdr:col>
      <xdr:colOff>165652</xdr:colOff>
      <xdr:row>9</xdr:row>
      <xdr:rowOff>178076</xdr:rowOff>
    </xdr:to>
    <xdr:cxnSp macro="">
      <xdr:nvCxnSpPr>
        <xdr:cNvPr id="21" name="Straight Arrow Connector 20">
          <a:extLst>
            <a:ext uri="{FF2B5EF4-FFF2-40B4-BE49-F238E27FC236}">
              <a16:creationId xmlns:a16="http://schemas.microsoft.com/office/drawing/2014/main" id="{4E953BDB-6C6E-4479-98E7-A97FE0AC30D4}"/>
            </a:ext>
          </a:extLst>
        </xdr:cNvPr>
        <xdr:cNvCxnSpPr/>
      </xdr:nvCxnSpPr>
      <xdr:spPr>
        <a:xfrm flipH="1">
          <a:off x="22876730" y="1524000"/>
          <a:ext cx="4142" cy="54383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180975</xdr:colOff>
      <xdr:row>6</xdr:row>
      <xdr:rowOff>104775</xdr:rowOff>
    </xdr:from>
    <xdr:to>
      <xdr:col>30</xdr:col>
      <xdr:colOff>147637</xdr:colOff>
      <xdr:row>8</xdr:row>
      <xdr:rowOff>95250</xdr:rowOff>
    </xdr:to>
    <xdr:cxnSp macro="">
      <xdr:nvCxnSpPr>
        <xdr:cNvPr id="22" name="Connector: Elbow 21">
          <a:extLst>
            <a:ext uri="{FF2B5EF4-FFF2-40B4-BE49-F238E27FC236}">
              <a16:creationId xmlns:a16="http://schemas.microsoft.com/office/drawing/2014/main" id="{5F1FC0DB-622E-4DB8-B4D2-DEA9022CA685}"/>
            </a:ext>
          </a:extLst>
        </xdr:cNvPr>
        <xdr:cNvCxnSpPr/>
      </xdr:nvCxnSpPr>
      <xdr:spPr>
        <a:xfrm>
          <a:off x="13935075" y="1369695"/>
          <a:ext cx="3776662" cy="43243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361950</xdr:colOff>
      <xdr:row>4</xdr:row>
      <xdr:rowOff>71438</xdr:rowOff>
    </xdr:from>
    <xdr:to>
      <xdr:col>6</xdr:col>
      <xdr:colOff>375397</xdr:colOff>
      <xdr:row>4</xdr:row>
      <xdr:rowOff>72839</xdr:rowOff>
    </xdr:to>
    <xdr:cxnSp macro="">
      <xdr:nvCxnSpPr>
        <xdr:cNvPr id="2" name="Straight Arrow Connector 1">
          <a:extLst>
            <a:ext uri="{FF2B5EF4-FFF2-40B4-BE49-F238E27FC236}">
              <a16:creationId xmlns:a16="http://schemas.microsoft.com/office/drawing/2014/main" id="{5A0E3CF4-F1B7-1148-9B6D-297ED4D41B84}"/>
            </a:ext>
          </a:extLst>
        </xdr:cNvPr>
        <xdr:cNvCxnSpPr/>
      </xdr:nvCxnSpPr>
      <xdr:spPr>
        <a:xfrm>
          <a:off x="1733550" y="846138"/>
          <a:ext cx="55954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304800</xdr:colOff>
      <xdr:row>12</xdr:row>
      <xdr:rowOff>109538</xdr:rowOff>
    </xdr:from>
    <xdr:to>
      <xdr:col>7</xdr:col>
      <xdr:colOff>331</xdr:colOff>
      <xdr:row>12</xdr:row>
      <xdr:rowOff>120492</xdr:rowOff>
    </xdr:to>
    <xdr:cxnSp macro="">
      <xdr:nvCxnSpPr>
        <xdr:cNvPr id="3" name="Straight Arrow Connector 2">
          <a:extLst>
            <a:ext uri="{FF2B5EF4-FFF2-40B4-BE49-F238E27FC236}">
              <a16:creationId xmlns:a16="http://schemas.microsoft.com/office/drawing/2014/main" id="{35CD160E-F2C5-7F49-ABEE-614F8953E209}"/>
            </a:ext>
          </a:extLst>
        </xdr:cNvPr>
        <xdr:cNvCxnSpPr/>
      </xdr:nvCxnSpPr>
      <xdr:spPr>
        <a:xfrm>
          <a:off x="2057400" y="2408238"/>
          <a:ext cx="24163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5603</xdr:colOff>
      <xdr:row>12</xdr:row>
      <xdr:rowOff>72839</xdr:rowOff>
    </xdr:from>
    <xdr:to>
      <xdr:col>10</xdr:col>
      <xdr:colOff>391991</xdr:colOff>
      <xdr:row>12</xdr:row>
      <xdr:rowOff>80596</xdr:rowOff>
    </xdr:to>
    <xdr:cxnSp macro="">
      <xdr:nvCxnSpPr>
        <xdr:cNvPr id="4" name="Straight Arrow Connector 3">
          <a:extLst>
            <a:ext uri="{FF2B5EF4-FFF2-40B4-BE49-F238E27FC236}">
              <a16:creationId xmlns:a16="http://schemas.microsoft.com/office/drawing/2014/main" id="{E33FFFCD-E37C-6045-A73A-78DC3F42A678}"/>
            </a:ext>
          </a:extLst>
        </xdr:cNvPr>
        <xdr:cNvCxnSpPr/>
      </xdr:nvCxnSpPr>
      <xdr:spPr>
        <a:xfrm>
          <a:off x="3028203" y="2371539"/>
          <a:ext cx="38638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8283</xdr:colOff>
      <xdr:row>8</xdr:row>
      <xdr:rowOff>98913</xdr:rowOff>
    </xdr:from>
    <xdr:to>
      <xdr:col>18</xdr:col>
      <xdr:colOff>388327</xdr:colOff>
      <xdr:row>8</xdr:row>
      <xdr:rowOff>99391</xdr:rowOff>
    </xdr:to>
    <xdr:cxnSp macro="">
      <xdr:nvCxnSpPr>
        <xdr:cNvPr id="5" name="Straight Arrow Connector 4">
          <a:extLst>
            <a:ext uri="{FF2B5EF4-FFF2-40B4-BE49-F238E27FC236}">
              <a16:creationId xmlns:a16="http://schemas.microsoft.com/office/drawing/2014/main" id="{6463CCD8-5D9A-BD4D-A8E1-00B6D2340710}"/>
            </a:ext>
          </a:extLst>
        </xdr:cNvPr>
        <xdr:cNvCxnSpPr/>
      </xdr:nvCxnSpPr>
      <xdr:spPr>
        <a:xfrm flipV="1">
          <a:off x="6536083" y="1635613"/>
          <a:ext cx="22764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3922</xdr:colOff>
      <xdr:row>12</xdr:row>
      <xdr:rowOff>91257</xdr:rowOff>
    </xdr:from>
    <xdr:to>
      <xdr:col>26</xdr:col>
      <xdr:colOff>775688</xdr:colOff>
      <xdr:row>12</xdr:row>
      <xdr:rowOff>95250</xdr:rowOff>
    </xdr:to>
    <xdr:cxnSp macro="">
      <xdr:nvCxnSpPr>
        <xdr:cNvPr id="6" name="Straight Arrow Connector 5">
          <a:extLst>
            <a:ext uri="{FF2B5EF4-FFF2-40B4-BE49-F238E27FC236}">
              <a16:creationId xmlns:a16="http://schemas.microsoft.com/office/drawing/2014/main" id="{9DCD0072-8000-474F-8A35-4CABF4082743}"/>
            </a:ext>
          </a:extLst>
        </xdr:cNvPr>
        <xdr:cNvCxnSpPr/>
      </xdr:nvCxnSpPr>
      <xdr:spPr>
        <a:xfrm flipV="1">
          <a:off x="8970122" y="2389957"/>
          <a:ext cx="771766" cy="399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8750</xdr:colOff>
      <xdr:row>4</xdr:row>
      <xdr:rowOff>98914</xdr:rowOff>
    </xdr:from>
    <xdr:to>
      <xdr:col>11</xdr:col>
      <xdr:colOff>0</xdr:colOff>
      <xdr:row>4</xdr:row>
      <xdr:rowOff>101715</xdr:rowOff>
    </xdr:to>
    <xdr:cxnSp macro="">
      <xdr:nvCxnSpPr>
        <xdr:cNvPr id="7" name="Straight Arrow Connector 6">
          <a:extLst>
            <a:ext uri="{FF2B5EF4-FFF2-40B4-BE49-F238E27FC236}">
              <a16:creationId xmlns:a16="http://schemas.microsoft.com/office/drawing/2014/main" id="{893DE4DB-D647-5F4D-986C-A986AA020611}"/>
            </a:ext>
          </a:extLst>
        </xdr:cNvPr>
        <xdr:cNvCxnSpPr/>
      </xdr:nvCxnSpPr>
      <xdr:spPr>
        <a:xfrm flipV="1">
          <a:off x="3031350" y="873614"/>
          <a:ext cx="6643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290513</xdr:colOff>
      <xdr:row>8</xdr:row>
      <xdr:rowOff>95250</xdr:rowOff>
    </xdr:from>
    <xdr:to>
      <xdr:col>7</xdr:col>
      <xdr:colOff>0</xdr:colOff>
      <xdr:row>8</xdr:row>
      <xdr:rowOff>100853</xdr:rowOff>
    </xdr:to>
    <xdr:cxnSp macro="">
      <xdr:nvCxnSpPr>
        <xdr:cNvPr id="8" name="Straight Arrow Connector 7">
          <a:extLst>
            <a:ext uri="{FF2B5EF4-FFF2-40B4-BE49-F238E27FC236}">
              <a16:creationId xmlns:a16="http://schemas.microsoft.com/office/drawing/2014/main" id="{EBFEDE30-C5AD-2340-A462-CC49FB415564}"/>
            </a:ext>
          </a:extLst>
        </xdr:cNvPr>
        <xdr:cNvCxnSpPr/>
      </xdr:nvCxnSpPr>
      <xdr:spPr>
        <a:xfrm>
          <a:off x="2055813" y="1631950"/>
          <a:ext cx="24288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7327</xdr:colOff>
      <xdr:row>4</xdr:row>
      <xdr:rowOff>91587</xdr:rowOff>
    </xdr:from>
    <xdr:to>
      <xdr:col>14</xdr:col>
      <xdr:colOff>394231</xdr:colOff>
      <xdr:row>4</xdr:row>
      <xdr:rowOff>94388</xdr:rowOff>
    </xdr:to>
    <xdr:cxnSp macro="">
      <xdr:nvCxnSpPr>
        <xdr:cNvPr id="9" name="Straight Arrow Connector 8">
          <a:extLst>
            <a:ext uri="{FF2B5EF4-FFF2-40B4-BE49-F238E27FC236}">
              <a16:creationId xmlns:a16="http://schemas.microsoft.com/office/drawing/2014/main" id="{58A2C2C3-AD40-B44A-B4B0-B8575C922DF3}"/>
            </a:ext>
          </a:extLst>
        </xdr:cNvPr>
        <xdr:cNvCxnSpPr/>
      </xdr:nvCxnSpPr>
      <xdr:spPr>
        <a:xfrm flipV="1">
          <a:off x="5569927" y="866287"/>
          <a:ext cx="23450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3663</xdr:colOff>
      <xdr:row>8</xdr:row>
      <xdr:rowOff>112705</xdr:rowOff>
    </xdr:from>
    <xdr:to>
      <xdr:col>15</xdr:col>
      <xdr:colOff>0</xdr:colOff>
      <xdr:row>8</xdr:row>
      <xdr:rowOff>115956</xdr:rowOff>
    </xdr:to>
    <xdr:cxnSp macro="">
      <xdr:nvCxnSpPr>
        <xdr:cNvPr id="10" name="Straight Arrow Connector 9">
          <a:extLst>
            <a:ext uri="{FF2B5EF4-FFF2-40B4-BE49-F238E27FC236}">
              <a16:creationId xmlns:a16="http://schemas.microsoft.com/office/drawing/2014/main" id="{0667A473-67CE-CC4A-968D-D8ACE3D565FA}"/>
            </a:ext>
          </a:extLst>
        </xdr:cNvPr>
        <xdr:cNvCxnSpPr/>
      </xdr:nvCxnSpPr>
      <xdr:spPr>
        <a:xfrm>
          <a:off x="3026263" y="1649405"/>
          <a:ext cx="27776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181570</xdr:colOff>
      <xdr:row>5</xdr:row>
      <xdr:rowOff>179819</xdr:rowOff>
    </xdr:from>
    <xdr:to>
      <xdr:col>8</xdr:col>
      <xdr:colOff>182264</xdr:colOff>
      <xdr:row>6</xdr:row>
      <xdr:rowOff>101203</xdr:rowOff>
    </xdr:to>
    <xdr:cxnSp macro="">
      <xdr:nvCxnSpPr>
        <xdr:cNvPr id="11" name="Straight Connector 10">
          <a:extLst>
            <a:ext uri="{FF2B5EF4-FFF2-40B4-BE49-F238E27FC236}">
              <a16:creationId xmlns:a16="http://schemas.microsoft.com/office/drawing/2014/main" id="{99C07D9E-61FF-D548-ADD7-74D9200F099E}"/>
            </a:ext>
          </a:extLst>
        </xdr:cNvPr>
        <xdr:cNvCxnSpPr/>
      </xdr:nvCxnSpPr>
      <xdr:spPr>
        <a:xfrm flipH="1">
          <a:off x="2721570" y="1145019"/>
          <a:ext cx="694" cy="1118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8</xdr:row>
      <xdr:rowOff>109903</xdr:rowOff>
    </xdr:from>
    <xdr:to>
      <xdr:col>23</xdr:col>
      <xdr:colOff>7327</xdr:colOff>
      <xdr:row>8</xdr:row>
      <xdr:rowOff>113567</xdr:rowOff>
    </xdr:to>
    <xdr:cxnSp macro="">
      <xdr:nvCxnSpPr>
        <xdr:cNvPr id="12" name="Straight Arrow Connector 11">
          <a:extLst>
            <a:ext uri="{FF2B5EF4-FFF2-40B4-BE49-F238E27FC236}">
              <a16:creationId xmlns:a16="http://schemas.microsoft.com/office/drawing/2014/main" id="{9F51E233-43F0-B945-B25E-BA10BBC62470}"/>
            </a:ext>
          </a:extLst>
        </xdr:cNvPr>
        <xdr:cNvCxnSpPr/>
      </xdr:nvCxnSpPr>
      <xdr:spPr>
        <a:xfrm flipV="1">
          <a:off x="7493000" y="1646603"/>
          <a:ext cx="24862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187523</xdr:colOff>
      <xdr:row>14</xdr:row>
      <xdr:rowOff>10991</xdr:rowOff>
    </xdr:from>
    <xdr:to>
      <xdr:col>24</xdr:col>
      <xdr:colOff>219808</xdr:colOff>
      <xdr:row>15</xdr:row>
      <xdr:rowOff>125015</xdr:rowOff>
    </xdr:to>
    <xdr:cxnSp macro="">
      <xdr:nvCxnSpPr>
        <xdr:cNvPr id="13" name="Connector: Elbow 79">
          <a:extLst>
            <a:ext uri="{FF2B5EF4-FFF2-40B4-BE49-F238E27FC236}">
              <a16:creationId xmlns:a16="http://schemas.microsoft.com/office/drawing/2014/main" id="{4AF46DCE-181A-FA48-9CC5-F4446FF769CC}"/>
            </a:ext>
          </a:extLst>
        </xdr:cNvPr>
        <xdr:cNvCxnSpPr/>
      </xdr:nvCxnSpPr>
      <xdr:spPr>
        <a:xfrm flipV="1">
          <a:off x="2727523" y="2690691"/>
          <a:ext cx="5467885" cy="30452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190499</xdr:colOff>
      <xdr:row>14</xdr:row>
      <xdr:rowOff>3663</xdr:rowOff>
    </xdr:from>
    <xdr:to>
      <xdr:col>8</xdr:col>
      <xdr:colOff>190500</xdr:colOff>
      <xdr:row>15</xdr:row>
      <xdr:rowOff>120894</xdr:rowOff>
    </xdr:to>
    <xdr:cxnSp macro="">
      <xdr:nvCxnSpPr>
        <xdr:cNvPr id="14" name="Straight Connector 13">
          <a:extLst>
            <a:ext uri="{FF2B5EF4-FFF2-40B4-BE49-F238E27FC236}">
              <a16:creationId xmlns:a16="http://schemas.microsoft.com/office/drawing/2014/main" id="{28CCCA80-F784-8149-8FC3-2BC44B725C40}"/>
            </a:ext>
          </a:extLst>
        </xdr:cNvPr>
        <xdr:cNvCxnSpPr/>
      </xdr:nvCxnSpPr>
      <xdr:spPr>
        <a:xfrm>
          <a:off x="2730499" y="2683363"/>
          <a:ext cx="1" cy="3077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169793</xdr:colOff>
      <xdr:row>10</xdr:row>
      <xdr:rowOff>2229</xdr:rowOff>
    </xdr:from>
    <xdr:to>
      <xdr:col>28</xdr:col>
      <xdr:colOff>172979</xdr:colOff>
      <xdr:row>10</xdr:row>
      <xdr:rowOff>173934</xdr:rowOff>
    </xdr:to>
    <xdr:cxnSp macro="">
      <xdr:nvCxnSpPr>
        <xdr:cNvPr id="15" name="Straight Arrow Connector 14">
          <a:extLst>
            <a:ext uri="{FF2B5EF4-FFF2-40B4-BE49-F238E27FC236}">
              <a16:creationId xmlns:a16="http://schemas.microsoft.com/office/drawing/2014/main" id="{306F70DA-C94E-404D-8343-C661FF55B46A}"/>
            </a:ext>
          </a:extLst>
        </xdr:cNvPr>
        <xdr:cNvCxnSpPr/>
      </xdr:nvCxnSpPr>
      <xdr:spPr>
        <a:xfrm flipV="1">
          <a:off x="11040993" y="191992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2428</xdr:colOff>
      <xdr:row>10</xdr:row>
      <xdr:rowOff>169120</xdr:rowOff>
    </xdr:from>
    <xdr:to>
      <xdr:col>28</xdr:col>
      <xdr:colOff>165929</xdr:colOff>
      <xdr:row>12</xdr:row>
      <xdr:rowOff>91109</xdr:rowOff>
    </xdr:to>
    <xdr:cxnSp macro="">
      <xdr:nvCxnSpPr>
        <xdr:cNvPr id="16" name="Connector: Elbow 151">
          <a:extLst>
            <a:ext uri="{FF2B5EF4-FFF2-40B4-BE49-F238E27FC236}">
              <a16:creationId xmlns:a16="http://schemas.microsoft.com/office/drawing/2014/main" id="{AFBF9577-59C7-5243-8B62-20F61259949A}"/>
            </a:ext>
          </a:extLst>
        </xdr:cNvPr>
        <xdr:cNvCxnSpPr/>
      </xdr:nvCxnSpPr>
      <xdr:spPr>
        <a:xfrm flipV="1">
          <a:off x="5565028" y="2086820"/>
          <a:ext cx="5472101" cy="302989"/>
        </a:xfrm>
        <a:prstGeom prst="bentConnector3">
          <a:avLst>
            <a:gd name="adj1" fmla="val 31205"/>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411633</xdr:colOff>
      <xdr:row>4</xdr:row>
      <xdr:rowOff>142165</xdr:rowOff>
    </xdr:from>
    <xdr:to>
      <xdr:col>26</xdr:col>
      <xdr:colOff>242096</xdr:colOff>
      <xdr:row>10</xdr:row>
      <xdr:rowOff>167012</xdr:rowOff>
    </xdr:to>
    <xdr:cxnSp macro="">
      <xdr:nvCxnSpPr>
        <xdr:cNvPr id="17" name="Connector: Elbow 153">
          <a:extLst>
            <a:ext uri="{FF2B5EF4-FFF2-40B4-BE49-F238E27FC236}">
              <a16:creationId xmlns:a16="http://schemas.microsoft.com/office/drawing/2014/main" id="{1B0B44DC-E557-2648-BF3C-BEAEB8DAC00D}"/>
            </a:ext>
          </a:extLst>
        </xdr:cNvPr>
        <xdr:cNvCxnSpPr/>
      </xdr:nvCxnSpPr>
      <xdr:spPr>
        <a:xfrm>
          <a:off x="6533033" y="916865"/>
          <a:ext cx="2675263" cy="1167847"/>
        </a:xfrm>
        <a:prstGeom prst="bentConnector3">
          <a:avLst>
            <a:gd name="adj1" fmla="val 9812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284714</xdr:colOff>
      <xdr:row>4</xdr:row>
      <xdr:rowOff>76200</xdr:rowOff>
    </xdr:from>
    <xdr:to>
      <xdr:col>5</xdr:col>
      <xdr:colOff>295275</xdr:colOff>
      <xdr:row>12</xdr:row>
      <xdr:rowOff>114300</xdr:rowOff>
    </xdr:to>
    <xdr:cxnSp macro="">
      <xdr:nvCxnSpPr>
        <xdr:cNvPr id="18" name="Straight Connector 17">
          <a:extLst>
            <a:ext uri="{FF2B5EF4-FFF2-40B4-BE49-F238E27FC236}">
              <a16:creationId xmlns:a16="http://schemas.microsoft.com/office/drawing/2014/main" id="{B3EF9214-61DC-8349-ACF3-46FB67CEC9DA}"/>
            </a:ext>
          </a:extLst>
        </xdr:cNvPr>
        <xdr:cNvCxnSpPr/>
      </xdr:nvCxnSpPr>
      <xdr:spPr>
        <a:xfrm>
          <a:off x="2062714" y="850900"/>
          <a:ext cx="0" cy="15621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114802</xdr:colOff>
      <xdr:row>5</xdr:row>
      <xdr:rowOff>106467</xdr:rowOff>
    </xdr:from>
    <xdr:to>
      <xdr:col>30</xdr:col>
      <xdr:colOff>882156</xdr:colOff>
      <xdr:row>7</xdr:row>
      <xdr:rowOff>7175</xdr:rowOff>
    </xdr:to>
    <xdr:cxnSp macro="">
      <xdr:nvCxnSpPr>
        <xdr:cNvPr id="19" name="Connector: Elbow 168">
          <a:extLst>
            <a:ext uri="{FF2B5EF4-FFF2-40B4-BE49-F238E27FC236}">
              <a16:creationId xmlns:a16="http://schemas.microsoft.com/office/drawing/2014/main" id="{26A9E788-DA62-A04F-AA47-D80187558D5D}"/>
            </a:ext>
          </a:extLst>
        </xdr:cNvPr>
        <xdr:cNvCxnSpPr/>
      </xdr:nvCxnSpPr>
      <xdr:spPr>
        <a:xfrm flipV="1">
          <a:off x="8090402" y="1071667"/>
          <a:ext cx="5631454" cy="281708"/>
        </a:xfrm>
        <a:prstGeom prst="bentConnector3">
          <a:avLst>
            <a:gd name="adj1" fmla="val -19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412040</xdr:colOff>
      <xdr:row>5</xdr:row>
      <xdr:rowOff>106494</xdr:rowOff>
    </xdr:from>
    <xdr:to>
      <xdr:col>28</xdr:col>
      <xdr:colOff>412570</xdr:colOff>
      <xdr:row>7</xdr:row>
      <xdr:rowOff>10763</xdr:rowOff>
    </xdr:to>
    <xdr:cxnSp macro="">
      <xdr:nvCxnSpPr>
        <xdr:cNvPr id="20" name="Straight Connector 19">
          <a:extLst>
            <a:ext uri="{FF2B5EF4-FFF2-40B4-BE49-F238E27FC236}">
              <a16:creationId xmlns:a16="http://schemas.microsoft.com/office/drawing/2014/main" id="{FAB6DC7F-2382-2A46-9E13-E60C64A4641F}"/>
            </a:ext>
          </a:extLst>
        </xdr:cNvPr>
        <xdr:cNvCxnSpPr/>
      </xdr:nvCxnSpPr>
      <xdr:spPr>
        <a:xfrm flipH="1" flipV="1">
          <a:off x="11283240" y="1071694"/>
          <a:ext cx="530" cy="28526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398577</xdr:colOff>
      <xdr:row>7</xdr:row>
      <xdr:rowOff>0</xdr:rowOff>
    </xdr:from>
    <xdr:to>
      <xdr:col>32</xdr:col>
      <xdr:colOff>402719</xdr:colOff>
      <xdr:row>9</xdr:row>
      <xdr:rowOff>178076</xdr:rowOff>
    </xdr:to>
    <xdr:cxnSp macro="">
      <xdr:nvCxnSpPr>
        <xdr:cNvPr id="21" name="Straight Arrow Connector 20">
          <a:extLst>
            <a:ext uri="{FF2B5EF4-FFF2-40B4-BE49-F238E27FC236}">
              <a16:creationId xmlns:a16="http://schemas.microsoft.com/office/drawing/2014/main" id="{0E75D29A-7A6D-594C-A39D-F2EE01ED94CA}"/>
            </a:ext>
          </a:extLst>
        </xdr:cNvPr>
        <xdr:cNvCxnSpPr/>
      </xdr:nvCxnSpPr>
      <xdr:spPr>
        <a:xfrm flipH="1">
          <a:off x="14546377" y="1346200"/>
          <a:ext cx="4142" cy="55907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6</xdr:row>
      <xdr:rowOff>104775</xdr:rowOff>
    </xdr:from>
    <xdr:to>
      <xdr:col>18</xdr:col>
      <xdr:colOff>147637</xdr:colOff>
      <xdr:row>8</xdr:row>
      <xdr:rowOff>95250</xdr:rowOff>
    </xdr:to>
    <xdr:cxnSp macro="">
      <xdr:nvCxnSpPr>
        <xdr:cNvPr id="22" name="Connector: Elbow 191">
          <a:extLst>
            <a:ext uri="{FF2B5EF4-FFF2-40B4-BE49-F238E27FC236}">
              <a16:creationId xmlns:a16="http://schemas.microsoft.com/office/drawing/2014/main" id="{FBF0709A-A340-EA47-B709-C6B68D74522D}"/>
            </a:ext>
          </a:extLst>
        </xdr:cNvPr>
        <xdr:cNvCxnSpPr/>
      </xdr:nvCxnSpPr>
      <xdr:spPr>
        <a:xfrm>
          <a:off x="2720975" y="1260475"/>
          <a:ext cx="3954462" cy="37147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361950</xdr:colOff>
      <xdr:row>4</xdr:row>
      <xdr:rowOff>71438</xdr:rowOff>
    </xdr:from>
    <xdr:to>
      <xdr:col>18</xdr:col>
      <xdr:colOff>375397</xdr:colOff>
      <xdr:row>4</xdr:row>
      <xdr:rowOff>72839</xdr:rowOff>
    </xdr:to>
    <xdr:cxnSp macro="">
      <xdr:nvCxnSpPr>
        <xdr:cNvPr id="2" name="Straight Arrow Connector 1">
          <a:extLst>
            <a:ext uri="{FF2B5EF4-FFF2-40B4-BE49-F238E27FC236}">
              <a16:creationId xmlns:a16="http://schemas.microsoft.com/office/drawing/2014/main" id="{86B76405-5795-1146-91C5-74B12CBD0028}"/>
            </a:ext>
          </a:extLst>
        </xdr:cNvPr>
        <xdr:cNvCxnSpPr/>
      </xdr:nvCxnSpPr>
      <xdr:spPr>
        <a:xfrm>
          <a:off x="14014450" y="947738"/>
          <a:ext cx="80084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304800</xdr:colOff>
      <xdr:row>12</xdr:row>
      <xdr:rowOff>109538</xdr:rowOff>
    </xdr:from>
    <xdr:to>
      <xdr:col>19</xdr:col>
      <xdr:colOff>331</xdr:colOff>
      <xdr:row>12</xdr:row>
      <xdr:rowOff>120492</xdr:rowOff>
    </xdr:to>
    <xdr:cxnSp macro="">
      <xdr:nvCxnSpPr>
        <xdr:cNvPr id="3" name="Straight Arrow Connector 2">
          <a:extLst>
            <a:ext uri="{FF2B5EF4-FFF2-40B4-BE49-F238E27FC236}">
              <a16:creationId xmlns:a16="http://schemas.microsoft.com/office/drawing/2014/main" id="{D32410CC-55DA-4F44-A305-356B4E312A64}"/>
            </a:ext>
          </a:extLst>
        </xdr:cNvPr>
        <xdr:cNvCxnSpPr/>
      </xdr:nvCxnSpPr>
      <xdr:spPr>
        <a:xfrm>
          <a:off x="14376400" y="2852738"/>
          <a:ext cx="47023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5603</xdr:colOff>
      <xdr:row>12</xdr:row>
      <xdr:rowOff>72839</xdr:rowOff>
    </xdr:from>
    <xdr:to>
      <xdr:col>22</xdr:col>
      <xdr:colOff>391991</xdr:colOff>
      <xdr:row>12</xdr:row>
      <xdr:rowOff>80596</xdr:rowOff>
    </xdr:to>
    <xdr:cxnSp macro="">
      <xdr:nvCxnSpPr>
        <xdr:cNvPr id="4" name="Straight Arrow Connector 3">
          <a:extLst>
            <a:ext uri="{FF2B5EF4-FFF2-40B4-BE49-F238E27FC236}">
              <a16:creationId xmlns:a16="http://schemas.microsoft.com/office/drawing/2014/main" id="{5F770DCB-6643-CB45-B561-40171F6CE391}"/>
            </a:ext>
          </a:extLst>
        </xdr:cNvPr>
        <xdr:cNvCxnSpPr/>
      </xdr:nvCxnSpPr>
      <xdr:spPr>
        <a:xfrm>
          <a:off x="16109203" y="2816039"/>
          <a:ext cx="38638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8283</xdr:colOff>
      <xdr:row>8</xdr:row>
      <xdr:rowOff>98913</xdr:rowOff>
    </xdr:from>
    <xdr:to>
      <xdr:col>30</xdr:col>
      <xdr:colOff>388327</xdr:colOff>
      <xdr:row>8</xdr:row>
      <xdr:rowOff>99391</xdr:rowOff>
    </xdr:to>
    <xdr:cxnSp macro="">
      <xdr:nvCxnSpPr>
        <xdr:cNvPr id="5" name="Straight Arrow Connector 4">
          <a:extLst>
            <a:ext uri="{FF2B5EF4-FFF2-40B4-BE49-F238E27FC236}">
              <a16:creationId xmlns:a16="http://schemas.microsoft.com/office/drawing/2014/main" id="{3EFB3C35-33BF-524D-9E6B-EE9AC7D908B9}"/>
            </a:ext>
          </a:extLst>
        </xdr:cNvPr>
        <xdr:cNvCxnSpPr/>
      </xdr:nvCxnSpPr>
      <xdr:spPr>
        <a:xfrm flipV="1">
          <a:off x="19464683" y="1902313"/>
          <a:ext cx="38004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3922</xdr:colOff>
      <xdr:row>12</xdr:row>
      <xdr:rowOff>95250</xdr:rowOff>
    </xdr:from>
    <xdr:to>
      <xdr:col>38</xdr:col>
      <xdr:colOff>392205</xdr:colOff>
      <xdr:row>12</xdr:row>
      <xdr:rowOff>100853</xdr:rowOff>
    </xdr:to>
    <xdr:cxnSp macro="">
      <xdr:nvCxnSpPr>
        <xdr:cNvPr id="6" name="Straight Arrow Connector 5">
          <a:extLst>
            <a:ext uri="{FF2B5EF4-FFF2-40B4-BE49-F238E27FC236}">
              <a16:creationId xmlns:a16="http://schemas.microsoft.com/office/drawing/2014/main" id="{5CA68004-EBE2-794C-B99A-C80D472C67AE}"/>
            </a:ext>
          </a:extLst>
        </xdr:cNvPr>
        <xdr:cNvCxnSpPr/>
      </xdr:nvCxnSpPr>
      <xdr:spPr>
        <a:xfrm>
          <a:off x="22711522" y="2838450"/>
          <a:ext cx="388283"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8750</xdr:colOff>
      <xdr:row>4</xdr:row>
      <xdr:rowOff>98914</xdr:rowOff>
    </xdr:from>
    <xdr:to>
      <xdr:col>23</xdr:col>
      <xdr:colOff>0</xdr:colOff>
      <xdr:row>4</xdr:row>
      <xdr:rowOff>101715</xdr:rowOff>
    </xdr:to>
    <xdr:cxnSp macro="">
      <xdr:nvCxnSpPr>
        <xdr:cNvPr id="7" name="Straight Arrow Connector 6">
          <a:extLst>
            <a:ext uri="{FF2B5EF4-FFF2-40B4-BE49-F238E27FC236}">
              <a16:creationId xmlns:a16="http://schemas.microsoft.com/office/drawing/2014/main" id="{72A16B7A-5090-7B44-A7D9-6CB6E9019513}"/>
            </a:ext>
          </a:extLst>
        </xdr:cNvPr>
        <xdr:cNvCxnSpPr/>
      </xdr:nvCxnSpPr>
      <xdr:spPr>
        <a:xfrm flipV="1">
          <a:off x="16112350" y="975214"/>
          <a:ext cx="4103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290513</xdr:colOff>
      <xdr:row>8</xdr:row>
      <xdr:rowOff>95250</xdr:rowOff>
    </xdr:from>
    <xdr:to>
      <xdr:col>19</xdr:col>
      <xdr:colOff>0</xdr:colOff>
      <xdr:row>8</xdr:row>
      <xdr:rowOff>100853</xdr:rowOff>
    </xdr:to>
    <xdr:cxnSp macro="">
      <xdr:nvCxnSpPr>
        <xdr:cNvPr id="8" name="Straight Arrow Connector 7">
          <a:extLst>
            <a:ext uri="{FF2B5EF4-FFF2-40B4-BE49-F238E27FC236}">
              <a16:creationId xmlns:a16="http://schemas.microsoft.com/office/drawing/2014/main" id="{7F0925ED-362B-CE4C-950F-2B636143261F}"/>
            </a:ext>
          </a:extLst>
        </xdr:cNvPr>
        <xdr:cNvCxnSpPr/>
      </xdr:nvCxnSpPr>
      <xdr:spPr>
        <a:xfrm>
          <a:off x="14362113" y="1898650"/>
          <a:ext cx="48418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7327</xdr:colOff>
      <xdr:row>4</xdr:row>
      <xdr:rowOff>91587</xdr:rowOff>
    </xdr:from>
    <xdr:to>
      <xdr:col>26</xdr:col>
      <xdr:colOff>394231</xdr:colOff>
      <xdr:row>4</xdr:row>
      <xdr:rowOff>94388</xdr:rowOff>
    </xdr:to>
    <xdr:cxnSp macro="">
      <xdr:nvCxnSpPr>
        <xdr:cNvPr id="9" name="Straight Arrow Connector 8">
          <a:extLst>
            <a:ext uri="{FF2B5EF4-FFF2-40B4-BE49-F238E27FC236}">
              <a16:creationId xmlns:a16="http://schemas.microsoft.com/office/drawing/2014/main" id="{F3D85F8E-6A80-6642-A632-7068B9324F87}"/>
            </a:ext>
          </a:extLst>
        </xdr:cNvPr>
        <xdr:cNvCxnSpPr/>
      </xdr:nvCxnSpPr>
      <xdr:spPr>
        <a:xfrm flipV="1">
          <a:off x="17787327" y="967887"/>
          <a:ext cx="38690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3663</xdr:colOff>
      <xdr:row>8</xdr:row>
      <xdr:rowOff>112705</xdr:rowOff>
    </xdr:from>
    <xdr:to>
      <xdr:col>27</xdr:col>
      <xdr:colOff>0</xdr:colOff>
      <xdr:row>8</xdr:row>
      <xdr:rowOff>115956</xdr:rowOff>
    </xdr:to>
    <xdr:cxnSp macro="">
      <xdr:nvCxnSpPr>
        <xdr:cNvPr id="10" name="Straight Arrow Connector 9">
          <a:extLst>
            <a:ext uri="{FF2B5EF4-FFF2-40B4-BE49-F238E27FC236}">
              <a16:creationId xmlns:a16="http://schemas.microsoft.com/office/drawing/2014/main" id="{805843B8-52C8-7347-ACED-F4B17D96E204}"/>
            </a:ext>
          </a:extLst>
        </xdr:cNvPr>
        <xdr:cNvCxnSpPr/>
      </xdr:nvCxnSpPr>
      <xdr:spPr>
        <a:xfrm>
          <a:off x="16107263" y="1916105"/>
          <a:ext cx="20918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181570</xdr:colOff>
      <xdr:row>5</xdr:row>
      <xdr:rowOff>179819</xdr:rowOff>
    </xdr:from>
    <xdr:to>
      <xdr:col>20</xdr:col>
      <xdr:colOff>182264</xdr:colOff>
      <xdr:row>6</xdr:row>
      <xdr:rowOff>101203</xdr:rowOff>
    </xdr:to>
    <xdr:cxnSp macro="">
      <xdr:nvCxnSpPr>
        <xdr:cNvPr id="11" name="Straight Connector 10">
          <a:extLst>
            <a:ext uri="{FF2B5EF4-FFF2-40B4-BE49-F238E27FC236}">
              <a16:creationId xmlns:a16="http://schemas.microsoft.com/office/drawing/2014/main" id="{A58D3514-4090-5247-B207-C1408A0E099A}"/>
            </a:ext>
          </a:extLst>
        </xdr:cNvPr>
        <xdr:cNvCxnSpPr/>
      </xdr:nvCxnSpPr>
      <xdr:spPr>
        <a:xfrm flipH="1">
          <a:off x="15446970" y="1246619"/>
          <a:ext cx="694" cy="2007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0</xdr:colOff>
      <xdr:row>8</xdr:row>
      <xdr:rowOff>109903</xdr:rowOff>
    </xdr:from>
    <xdr:to>
      <xdr:col>35</xdr:col>
      <xdr:colOff>7327</xdr:colOff>
      <xdr:row>8</xdr:row>
      <xdr:rowOff>113567</xdr:rowOff>
    </xdr:to>
    <xdr:cxnSp macro="">
      <xdr:nvCxnSpPr>
        <xdr:cNvPr id="12" name="Straight Arrow Connector 11">
          <a:extLst>
            <a:ext uri="{FF2B5EF4-FFF2-40B4-BE49-F238E27FC236}">
              <a16:creationId xmlns:a16="http://schemas.microsoft.com/office/drawing/2014/main" id="{67B44070-436D-F845-8972-3B4A899DE722}"/>
            </a:ext>
          </a:extLst>
        </xdr:cNvPr>
        <xdr:cNvCxnSpPr/>
      </xdr:nvCxnSpPr>
      <xdr:spPr>
        <a:xfrm flipV="1">
          <a:off x="21082000" y="1913303"/>
          <a:ext cx="35022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187523</xdr:colOff>
      <xdr:row>14</xdr:row>
      <xdr:rowOff>10991</xdr:rowOff>
    </xdr:from>
    <xdr:to>
      <xdr:col>36</xdr:col>
      <xdr:colOff>219808</xdr:colOff>
      <xdr:row>15</xdr:row>
      <xdr:rowOff>125015</xdr:rowOff>
    </xdr:to>
    <xdr:cxnSp macro="">
      <xdr:nvCxnSpPr>
        <xdr:cNvPr id="13" name="Connector: Elbow 12">
          <a:extLst>
            <a:ext uri="{FF2B5EF4-FFF2-40B4-BE49-F238E27FC236}">
              <a16:creationId xmlns:a16="http://schemas.microsoft.com/office/drawing/2014/main" id="{5B197A77-0414-464F-8B4E-7FB9C4294568}"/>
            </a:ext>
          </a:extLst>
        </xdr:cNvPr>
        <xdr:cNvCxnSpPr/>
      </xdr:nvCxnSpPr>
      <xdr:spPr>
        <a:xfrm flipV="1">
          <a:off x="15452923" y="3300291"/>
          <a:ext cx="6610885" cy="38072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190499</xdr:colOff>
      <xdr:row>14</xdr:row>
      <xdr:rowOff>3663</xdr:rowOff>
    </xdr:from>
    <xdr:to>
      <xdr:col>20</xdr:col>
      <xdr:colOff>190500</xdr:colOff>
      <xdr:row>15</xdr:row>
      <xdr:rowOff>120894</xdr:rowOff>
    </xdr:to>
    <xdr:cxnSp macro="">
      <xdr:nvCxnSpPr>
        <xdr:cNvPr id="14" name="Straight Connector 13">
          <a:extLst>
            <a:ext uri="{FF2B5EF4-FFF2-40B4-BE49-F238E27FC236}">
              <a16:creationId xmlns:a16="http://schemas.microsoft.com/office/drawing/2014/main" id="{4E064CEF-32F1-314B-9E8F-57EBFEF42B4A}"/>
            </a:ext>
          </a:extLst>
        </xdr:cNvPr>
        <xdr:cNvCxnSpPr/>
      </xdr:nvCxnSpPr>
      <xdr:spPr>
        <a:xfrm>
          <a:off x="15455899" y="3292963"/>
          <a:ext cx="1" cy="3839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169793</xdr:colOff>
      <xdr:row>10</xdr:row>
      <xdr:rowOff>2229</xdr:rowOff>
    </xdr:from>
    <xdr:to>
      <xdr:col>40</xdr:col>
      <xdr:colOff>172979</xdr:colOff>
      <xdr:row>10</xdr:row>
      <xdr:rowOff>173934</xdr:rowOff>
    </xdr:to>
    <xdr:cxnSp macro="">
      <xdr:nvCxnSpPr>
        <xdr:cNvPr id="15" name="Straight Arrow Connector 14">
          <a:extLst>
            <a:ext uri="{FF2B5EF4-FFF2-40B4-BE49-F238E27FC236}">
              <a16:creationId xmlns:a16="http://schemas.microsoft.com/office/drawing/2014/main" id="{B1C91291-16FF-FD49-8069-BEF63C9A9B4E}"/>
            </a:ext>
          </a:extLst>
        </xdr:cNvPr>
        <xdr:cNvCxnSpPr/>
      </xdr:nvCxnSpPr>
      <xdr:spPr>
        <a:xfrm flipV="1">
          <a:off x="23715593" y="218662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10</xdr:row>
      <xdr:rowOff>115956</xdr:rowOff>
    </xdr:from>
    <xdr:to>
      <xdr:col>40</xdr:col>
      <xdr:colOff>178076</xdr:colOff>
      <xdr:row>12</xdr:row>
      <xdr:rowOff>91109</xdr:rowOff>
    </xdr:to>
    <xdr:cxnSp macro="">
      <xdr:nvCxnSpPr>
        <xdr:cNvPr id="16" name="Connector: Elbow 15">
          <a:extLst>
            <a:ext uri="{FF2B5EF4-FFF2-40B4-BE49-F238E27FC236}">
              <a16:creationId xmlns:a16="http://schemas.microsoft.com/office/drawing/2014/main" id="{D145CA8D-C43E-784D-9519-86ABAA47413F}"/>
            </a:ext>
          </a:extLst>
        </xdr:cNvPr>
        <xdr:cNvCxnSpPr/>
      </xdr:nvCxnSpPr>
      <xdr:spPr>
        <a:xfrm flipV="1">
          <a:off x="17780000" y="2300356"/>
          <a:ext cx="5943876" cy="533953"/>
        </a:xfrm>
        <a:prstGeom prst="bentConnector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0</xdr:colOff>
      <xdr:row>4</xdr:row>
      <xdr:rowOff>91109</xdr:rowOff>
    </xdr:from>
    <xdr:to>
      <xdr:col>38</xdr:col>
      <xdr:colOff>248478</xdr:colOff>
      <xdr:row>10</xdr:row>
      <xdr:rowOff>115956</xdr:rowOff>
    </xdr:to>
    <xdr:cxnSp macro="">
      <xdr:nvCxnSpPr>
        <xdr:cNvPr id="17" name="Connector: Elbow 16">
          <a:extLst>
            <a:ext uri="{FF2B5EF4-FFF2-40B4-BE49-F238E27FC236}">
              <a16:creationId xmlns:a16="http://schemas.microsoft.com/office/drawing/2014/main" id="{F684A999-D47B-A04B-8C74-37EA0079A27D}"/>
            </a:ext>
          </a:extLst>
        </xdr:cNvPr>
        <xdr:cNvCxnSpPr/>
      </xdr:nvCxnSpPr>
      <xdr:spPr>
        <a:xfrm>
          <a:off x="19456400" y="967409"/>
          <a:ext cx="3499678" cy="1332947"/>
        </a:xfrm>
        <a:prstGeom prst="bentConnector3">
          <a:avLst>
            <a:gd name="adj1" fmla="val 9812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284714</xdr:colOff>
      <xdr:row>4</xdr:row>
      <xdr:rowOff>76200</xdr:rowOff>
    </xdr:from>
    <xdr:to>
      <xdr:col>17</xdr:col>
      <xdr:colOff>295275</xdr:colOff>
      <xdr:row>12</xdr:row>
      <xdr:rowOff>114300</xdr:rowOff>
    </xdr:to>
    <xdr:cxnSp macro="">
      <xdr:nvCxnSpPr>
        <xdr:cNvPr id="18" name="Straight Connector 17">
          <a:extLst>
            <a:ext uri="{FF2B5EF4-FFF2-40B4-BE49-F238E27FC236}">
              <a16:creationId xmlns:a16="http://schemas.microsoft.com/office/drawing/2014/main" id="{FCA2D8A2-E5C0-2740-B0E4-35647F0DA322}"/>
            </a:ext>
          </a:extLst>
        </xdr:cNvPr>
        <xdr:cNvCxnSpPr/>
      </xdr:nvCxnSpPr>
      <xdr:spPr>
        <a:xfrm>
          <a:off x="14356314" y="952500"/>
          <a:ext cx="10561" cy="1905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121920</xdr:colOff>
      <xdr:row>5</xdr:row>
      <xdr:rowOff>210875</xdr:rowOff>
    </xdr:from>
    <xdr:to>
      <xdr:col>43</xdr:col>
      <xdr:colOff>0</xdr:colOff>
      <xdr:row>6</xdr:row>
      <xdr:rowOff>175260</xdr:rowOff>
    </xdr:to>
    <xdr:cxnSp macro="">
      <xdr:nvCxnSpPr>
        <xdr:cNvPr id="19" name="Connector: Elbow 18">
          <a:extLst>
            <a:ext uri="{FF2B5EF4-FFF2-40B4-BE49-F238E27FC236}">
              <a16:creationId xmlns:a16="http://schemas.microsoft.com/office/drawing/2014/main" id="{1C670683-CFBB-664C-BD8D-78F437D6F015}"/>
            </a:ext>
          </a:extLst>
        </xdr:cNvPr>
        <xdr:cNvCxnSpPr/>
      </xdr:nvCxnSpPr>
      <xdr:spPr>
        <a:xfrm flipV="1">
          <a:off x="21965920" y="1277675"/>
          <a:ext cx="2735580" cy="243785"/>
        </a:xfrm>
        <a:prstGeom prst="bentConnector3">
          <a:avLst>
            <a:gd name="adj1" fmla="val 169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175260</xdr:colOff>
      <xdr:row>5</xdr:row>
      <xdr:rowOff>198120</xdr:rowOff>
    </xdr:from>
    <xdr:to>
      <xdr:col>40</xdr:col>
      <xdr:colOff>178076</xdr:colOff>
      <xdr:row>7</xdr:row>
      <xdr:rowOff>4142</xdr:rowOff>
    </xdr:to>
    <xdr:cxnSp macro="">
      <xdr:nvCxnSpPr>
        <xdr:cNvPr id="20" name="Straight Connector 19">
          <a:extLst>
            <a:ext uri="{FF2B5EF4-FFF2-40B4-BE49-F238E27FC236}">
              <a16:creationId xmlns:a16="http://schemas.microsoft.com/office/drawing/2014/main" id="{61D0DA5D-AEEA-4346-86C3-AF7E0C90B6D7}"/>
            </a:ext>
          </a:extLst>
        </xdr:cNvPr>
        <xdr:cNvCxnSpPr/>
      </xdr:nvCxnSpPr>
      <xdr:spPr>
        <a:xfrm flipH="1" flipV="1">
          <a:off x="23721060" y="1264920"/>
          <a:ext cx="2816" cy="35212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161510</xdr:colOff>
      <xdr:row>7</xdr:row>
      <xdr:rowOff>0</xdr:rowOff>
    </xdr:from>
    <xdr:to>
      <xdr:col>44</xdr:col>
      <xdr:colOff>165652</xdr:colOff>
      <xdr:row>9</xdr:row>
      <xdr:rowOff>178076</xdr:rowOff>
    </xdr:to>
    <xdr:cxnSp macro="">
      <xdr:nvCxnSpPr>
        <xdr:cNvPr id="21" name="Straight Arrow Connector 20">
          <a:extLst>
            <a:ext uri="{FF2B5EF4-FFF2-40B4-BE49-F238E27FC236}">
              <a16:creationId xmlns:a16="http://schemas.microsoft.com/office/drawing/2014/main" id="{3170808D-7E14-9848-B32B-C1872B879C24}"/>
            </a:ext>
          </a:extLst>
        </xdr:cNvPr>
        <xdr:cNvCxnSpPr/>
      </xdr:nvCxnSpPr>
      <xdr:spPr>
        <a:xfrm flipH="1">
          <a:off x="25282110" y="1612900"/>
          <a:ext cx="4142" cy="55907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180975</xdr:colOff>
      <xdr:row>6</xdr:row>
      <xdr:rowOff>104775</xdr:rowOff>
    </xdr:from>
    <xdr:to>
      <xdr:col>30</xdr:col>
      <xdr:colOff>147637</xdr:colOff>
      <xdr:row>8</xdr:row>
      <xdr:rowOff>95250</xdr:rowOff>
    </xdr:to>
    <xdr:cxnSp macro="">
      <xdr:nvCxnSpPr>
        <xdr:cNvPr id="22" name="Connector: Elbow 21">
          <a:extLst>
            <a:ext uri="{FF2B5EF4-FFF2-40B4-BE49-F238E27FC236}">
              <a16:creationId xmlns:a16="http://schemas.microsoft.com/office/drawing/2014/main" id="{2A3FD678-F17F-F343-BF4C-E99B3F386095}"/>
            </a:ext>
          </a:extLst>
        </xdr:cNvPr>
        <xdr:cNvCxnSpPr/>
      </xdr:nvCxnSpPr>
      <xdr:spPr>
        <a:xfrm>
          <a:off x="15446375" y="1450975"/>
          <a:ext cx="4157662" cy="44767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361950</xdr:colOff>
      <xdr:row>4</xdr:row>
      <xdr:rowOff>71438</xdr:rowOff>
    </xdr:from>
    <xdr:to>
      <xdr:col>6</xdr:col>
      <xdr:colOff>375397</xdr:colOff>
      <xdr:row>4</xdr:row>
      <xdr:rowOff>72839</xdr:rowOff>
    </xdr:to>
    <xdr:cxnSp macro="">
      <xdr:nvCxnSpPr>
        <xdr:cNvPr id="16" name="Straight Arrow Connector 15">
          <a:extLst>
            <a:ext uri="{FF2B5EF4-FFF2-40B4-BE49-F238E27FC236}">
              <a16:creationId xmlns:a16="http://schemas.microsoft.com/office/drawing/2014/main" id="{178491B8-05B2-444C-B7DC-E45A5E4D0E59}"/>
            </a:ext>
          </a:extLst>
        </xdr:cNvPr>
        <xdr:cNvCxnSpPr/>
      </xdr:nvCxnSpPr>
      <xdr:spPr>
        <a:xfrm>
          <a:off x="14014450" y="947738"/>
          <a:ext cx="800847" cy="14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304800</xdr:colOff>
      <xdr:row>12</xdr:row>
      <xdr:rowOff>109538</xdr:rowOff>
    </xdr:from>
    <xdr:to>
      <xdr:col>7</xdr:col>
      <xdr:colOff>331</xdr:colOff>
      <xdr:row>12</xdr:row>
      <xdr:rowOff>120492</xdr:rowOff>
    </xdr:to>
    <xdr:cxnSp macro="">
      <xdr:nvCxnSpPr>
        <xdr:cNvPr id="27" name="Straight Arrow Connector 26">
          <a:extLst>
            <a:ext uri="{FF2B5EF4-FFF2-40B4-BE49-F238E27FC236}">
              <a16:creationId xmlns:a16="http://schemas.microsoft.com/office/drawing/2014/main" id="{8DE3E753-CE67-104B-B76A-0A6E2D8B8208}"/>
            </a:ext>
          </a:extLst>
        </xdr:cNvPr>
        <xdr:cNvCxnSpPr/>
      </xdr:nvCxnSpPr>
      <xdr:spPr>
        <a:xfrm>
          <a:off x="14376400" y="2827338"/>
          <a:ext cx="470231" cy="10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5603</xdr:colOff>
      <xdr:row>12</xdr:row>
      <xdr:rowOff>72839</xdr:rowOff>
    </xdr:from>
    <xdr:to>
      <xdr:col>10</xdr:col>
      <xdr:colOff>391991</xdr:colOff>
      <xdr:row>12</xdr:row>
      <xdr:rowOff>80596</xdr:rowOff>
    </xdr:to>
    <xdr:cxnSp macro="">
      <xdr:nvCxnSpPr>
        <xdr:cNvPr id="44" name="Straight Arrow Connector 43">
          <a:extLst>
            <a:ext uri="{FF2B5EF4-FFF2-40B4-BE49-F238E27FC236}">
              <a16:creationId xmlns:a16="http://schemas.microsoft.com/office/drawing/2014/main" id="{916E648D-4FA3-9D48-BBED-D5D2EA62F552}"/>
            </a:ext>
          </a:extLst>
        </xdr:cNvPr>
        <xdr:cNvCxnSpPr/>
      </xdr:nvCxnSpPr>
      <xdr:spPr>
        <a:xfrm>
          <a:off x="16109203" y="2790639"/>
          <a:ext cx="386388" cy="775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8283</xdr:colOff>
      <xdr:row>8</xdr:row>
      <xdr:rowOff>98913</xdr:rowOff>
    </xdr:from>
    <xdr:to>
      <xdr:col>18</xdr:col>
      <xdr:colOff>388327</xdr:colOff>
      <xdr:row>8</xdr:row>
      <xdr:rowOff>99391</xdr:rowOff>
    </xdr:to>
    <xdr:cxnSp macro="">
      <xdr:nvCxnSpPr>
        <xdr:cNvPr id="45" name="Straight Arrow Connector 44">
          <a:extLst>
            <a:ext uri="{FF2B5EF4-FFF2-40B4-BE49-F238E27FC236}">
              <a16:creationId xmlns:a16="http://schemas.microsoft.com/office/drawing/2014/main" id="{BE7BDB85-4019-7F4C-9CB2-194DFE7873F5}"/>
            </a:ext>
          </a:extLst>
        </xdr:cNvPr>
        <xdr:cNvCxnSpPr/>
      </xdr:nvCxnSpPr>
      <xdr:spPr>
        <a:xfrm flipV="1">
          <a:off x="19464683" y="1902313"/>
          <a:ext cx="380044" cy="47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3922</xdr:colOff>
      <xdr:row>12</xdr:row>
      <xdr:rowOff>91257</xdr:rowOff>
    </xdr:from>
    <xdr:to>
      <xdr:col>26</xdr:col>
      <xdr:colOff>775688</xdr:colOff>
      <xdr:row>12</xdr:row>
      <xdr:rowOff>95250</xdr:rowOff>
    </xdr:to>
    <xdr:cxnSp macro="">
      <xdr:nvCxnSpPr>
        <xdr:cNvPr id="46" name="Straight Arrow Connector 45">
          <a:extLst>
            <a:ext uri="{FF2B5EF4-FFF2-40B4-BE49-F238E27FC236}">
              <a16:creationId xmlns:a16="http://schemas.microsoft.com/office/drawing/2014/main" id="{362C0E62-1633-CC43-A161-9BAC17BA8A37}"/>
            </a:ext>
          </a:extLst>
        </xdr:cNvPr>
        <xdr:cNvCxnSpPr/>
      </xdr:nvCxnSpPr>
      <xdr:spPr>
        <a:xfrm flipV="1">
          <a:off x="9007994" y="2387904"/>
          <a:ext cx="771766" cy="399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8750</xdr:colOff>
      <xdr:row>4</xdr:row>
      <xdr:rowOff>98914</xdr:rowOff>
    </xdr:from>
    <xdr:to>
      <xdr:col>11</xdr:col>
      <xdr:colOff>0</xdr:colOff>
      <xdr:row>4</xdr:row>
      <xdr:rowOff>101715</xdr:rowOff>
    </xdr:to>
    <xdr:cxnSp macro="">
      <xdr:nvCxnSpPr>
        <xdr:cNvPr id="47" name="Straight Arrow Connector 46">
          <a:extLst>
            <a:ext uri="{FF2B5EF4-FFF2-40B4-BE49-F238E27FC236}">
              <a16:creationId xmlns:a16="http://schemas.microsoft.com/office/drawing/2014/main" id="{19E43D90-74F8-DF4C-A40F-277A242FA884}"/>
            </a:ext>
          </a:extLst>
        </xdr:cNvPr>
        <xdr:cNvCxnSpPr/>
      </xdr:nvCxnSpPr>
      <xdr:spPr>
        <a:xfrm flipV="1">
          <a:off x="16112350" y="975214"/>
          <a:ext cx="410350"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290513</xdr:colOff>
      <xdr:row>8</xdr:row>
      <xdr:rowOff>95250</xdr:rowOff>
    </xdr:from>
    <xdr:to>
      <xdr:col>7</xdr:col>
      <xdr:colOff>0</xdr:colOff>
      <xdr:row>8</xdr:row>
      <xdr:rowOff>100853</xdr:rowOff>
    </xdr:to>
    <xdr:cxnSp macro="">
      <xdr:nvCxnSpPr>
        <xdr:cNvPr id="48" name="Straight Arrow Connector 47">
          <a:extLst>
            <a:ext uri="{FF2B5EF4-FFF2-40B4-BE49-F238E27FC236}">
              <a16:creationId xmlns:a16="http://schemas.microsoft.com/office/drawing/2014/main" id="{401ACA4B-85ED-5A4C-85D0-942ACB71A21C}"/>
            </a:ext>
          </a:extLst>
        </xdr:cNvPr>
        <xdr:cNvCxnSpPr/>
      </xdr:nvCxnSpPr>
      <xdr:spPr>
        <a:xfrm>
          <a:off x="14362113" y="1898650"/>
          <a:ext cx="484187" cy="560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7327</xdr:colOff>
      <xdr:row>4</xdr:row>
      <xdr:rowOff>91587</xdr:rowOff>
    </xdr:from>
    <xdr:to>
      <xdr:col>14</xdr:col>
      <xdr:colOff>394231</xdr:colOff>
      <xdr:row>4</xdr:row>
      <xdr:rowOff>94388</xdr:rowOff>
    </xdr:to>
    <xdr:cxnSp macro="">
      <xdr:nvCxnSpPr>
        <xdr:cNvPr id="49" name="Straight Arrow Connector 48">
          <a:extLst>
            <a:ext uri="{FF2B5EF4-FFF2-40B4-BE49-F238E27FC236}">
              <a16:creationId xmlns:a16="http://schemas.microsoft.com/office/drawing/2014/main" id="{6F3FF222-E0E3-3646-B2C2-E43AE312E071}"/>
            </a:ext>
          </a:extLst>
        </xdr:cNvPr>
        <xdr:cNvCxnSpPr/>
      </xdr:nvCxnSpPr>
      <xdr:spPr>
        <a:xfrm flipV="1">
          <a:off x="17787327" y="967887"/>
          <a:ext cx="386904" cy="280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3663</xdr:colOff>
      <xdr:row>8</xdr:row>
      <xdr:rowOff>112705</xdr:rowOff>
    </xdr:from>
    <xdr:to>
      <xdr:col>15</xdr:col>
      <xdr:colOff>0</xdr:colOff>
      <xdr:row>8</xdr:row>
      <xdr:rowOff>115956</xdr:rowOff>
    </xdr:to>
    <xdr:cxnSp macro="">
      <xdr:nvCxnSpPr>
        <xdr:cNvPr id="50" name="Straight Arrow Connector 49">
          <a:extLst>
            <a:ext uri="{FF2B5EF4-FFF2-40B4-BE49-F238E27FC236}">
              <a16:creationId xmlns:a16="http://schemas.microsoft.com/office/drawing/2014/main" id="{81AF30C1-45FA-7343-900A-65EFD808587F}"/>
            </a:ext>
          </a:extLst>
        </xdr:cNvPr>
        <xdr:cNvCxnSpPr/>
      </xdr:nvCxnSpPr>
      <xdr:spPr>
        <a:xfrm>
          <a:off x="16107263" y="1916105"/>
          <a:ext cx="2091837" cy="3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181570</xdr:colOff>
      <xdr:row>5</xdr:row>
      <xdr:rowOff>179819</xdr:rowOff>
    </xdr:from>
    <xdr:to>
      <xdr:col>8</xdr:col>
      <xdr:colOff>182264</xdr:colOff>
      <xdr:row>6</xdr:row>
      <xdr:rowOff>101203</xdr:rowOff>
    </xdr:to>
    <xdr:cxnSp macro="">
      <xdr:nvCxnSpPr>
        <xdr:cNvPr id="51" name="Straight Connector 50">
          <a:extLst>
            <a:ext uri="{FF2B5EF4-FFF2-40B4-BE49-F238E27FC236}">
              <a16:creationId xmlns:a16="http://schemas.microsoft.com/office/drawing/2014/main" id="{D668FF97-330E-5747-B1EC-A9DD1D036681}"/>
            </a:ext>
          </a:extLst>
        </xdr:cNvPr>
        <xdr:cNvCxnSpPr/>
      </xdr:nvCxnSpPr>
      <xdr:spPr>
        <a:xfrm flipH="1">
          <a:off x="15446970" y="1246619"/>
          <a:ext cx="694" cy="1880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0</xdr:colOff>
      <xdr:row>8</xdr:row>
      <xdr:rowOff>109903</xdr:rowOff>
    </xdr:from>
    <xdr:to>
      <xdr:col>23</xdr:col>
      <xdr:colOff>7327</xdr:colOff>
      <xdr:row>8</xdr:row>
      <xdr:rowOff>113567</xdr:rowOff>
    </xdr:to>
    <xdr:cxnSp macro="">
      <xdr:nvCxnSpPr>
        <xdr:cNvPr id="52" name="Straight Arrow Connector 51">
          <a:extLst>
            <a:ext uri="{FF2B5EF4-FFF2-40B4-BE49-F238E27FC236}">
              <a16:creationId xmlns:a16="http://schemas.microsoft.com/office/drawing/2014/main" id="{1363FBA8-6851-2A4A-B146-B8FFC09D9FF0}"/>
            </a:ext>
          </a:extLst>
        </xdr:cNvPr>
        <xdr:cNvCxnSpPr/>
      </xdr:nvCxnSpPr>
      <xdr:spPr>
        <a:xfrm flipV="1">
          <a:off x="21082000" y="1913303"/>
          <a:ext cx="350227" cy="36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187523</xdr:colOff>
      <xdr:row>14</xdr:row>
      <xdr:rowOff>10991</xdr:rowOff>
    </xdr:from>
    <xdr:to>
      <xdr:col>24</xdr:col>
      <xdr:colOff>219808</xdr:colOff>
      <xdr:row>15</xdr:row>
      <xdr:rowOff>125015</xdr:rowOff>
    </xdr:to>
    <xdr:cxnSp macro="">
      <xdr:nvCxnSpPr>
        <xdr:cNvPr id="53" name="Connector: Elbow 79">
          <a:extLst>
            <a:ext uri="{FF2B5EF4-FFF2-40B4-BE49-F238E27FC236}">
              <a16:creationId xmlns:a16="http://schemas.microsoft.com/office/drawing/2014/main" id="{3D077330-8B23-7540-8981-953D1A0E7720}"/>
            </a:ext>
          </a:extLst>
        </xdr:cNvPr>
        <xdr:cNvCxnSpPr/>
      </xdr:nvCxnSpPr>
      <xdr:spPr>
        <a:xfrm flipV="1">
          <a:off x="15452923" y="3274891"/>
          <a:ext cx="6610885" cy="393424"/>
        </a:xfrm>
        <a:prstGeom prst="bentConnector3">
          <a:avLst>
            <a:gd name="adj1" fmla="val 100076"/>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190499</xdr:colOff>
      <xdr:row>14</xdr:row>
      <xdr:rowOff>3663</xdr:rowOff>
    </xdr:from>
    <xdr:to>
      <xdr:col>8</xdr:col>
      <xdr:colOff>190500</xdr:colOff>
      <xdr:row>15</xdr:row>
      <xdr:rowOff>120894</xdr:rowOff>
    </xdr:to>
    <xdr:cxnSp macro="">
      <xdr:nvCxnSpPr>
        <xdr:cNvPr id="54" name="Straight Connector 53">
          <a:extLst>
            <a:ext uri="{FF2B5EF4-FFF2-40B4-BE49-F238E27FC236}">
              <a16:creationId xmlns:a16="http://schemas.microsoft.com/office/drawing/2014/main" id="{121FEBE9-B88A-8E42-9081-9195B2FB69F3}"/>
            </a:ext>
          </a:extLst>
        </xdr:cNvPr>
        <xdr:cNvCxnSpPr/>
      </xdr:nvCxnSpPr>
      <xdr:spPr>
        <a:xfrm>
          <a:off x="15455899" y="3267563"/>
          <a:ext cx="1" cy="3966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169793</xdr:colOff>
      <xdr:row>10</xdr:row>
      <xdr:rowOff>2229</xdr:rowOff>
    </xdr:from>
    <xdr:to>
      <xdr:col>28</xdr:col>
      <xdr:colOff>172979</xdr:colOff>
      <xdr:row>10</xdr:row>
      <xdr:rowOff>173934</xdr:rowOff>
    </xdr:to>
    <xdr:cxnSp macro="">
      <xdr:nvCxnSpPr>
        <xdr:cNvPr id="55" name="Straight Arrow Connector 54">
          <a:extLst>
            <a:ext uri="{FF2B5EF4-FFF2-40B4-BE49-F238E27FC236}">
              <a16:creationId xmlns:a16="http://schemas.microsoft.com/office/drawing/2014/main" id="{225841BD-AFEB-144C-9982-D11C0F231D06}"/>
            </a:ext>
          </a:extLst>
        </xdr:cNvPr>
        <xdr:cNvCxnSpPr/>
      </xdr:nvCxnSpPr>
      <xdr:spPr>
        <a:xfrm flipV="1">
          <a:off x="23715593" y="2186629"/>
          <a:ext cx="3186" cy="1717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2428</xdr:colOff>
      <xdr:row>10</xdr:row>
      <xdr:rowOff>169120</xdr:rowOff>
    </xdr:from>
    <xdr:to>
      <xdr:col>28</xdr:col>
      <xdr:colOff>165929</xdr:colOff>
      <xdr:row>12</xdr:row>
      <xdr:rowOff>91109</xdr:rowOff>
    </xdr:to>
    <xdr:cxnSp macro="">
      <xdr:nvCxnSpPr>
        <xdr:cNvPr id="56" name="Connector: Elbow 151">
          <a:extLst>
            <a:ext uri="{FF2B5EF4-FFF2-40B4-BE49-F238E27FC236}">
              <a16:creationId xmlns:a16="http://schemas.microsoft.com/office/drawing/2014/main" id="{77F82EE4-A7E7-FD4D-A8FE-132987B2B9F4}"/>
            </a:ext>
          </a:extLst>
        </xdr:cNvPr>
        <xdr:cNvCxnSpPr/>
      </xdr:nvCxnSpPr>
      <xdr:spPr>
        <a:xfrm flipV="1">
          <a:off x="17782428" y="2353520"/>
          <a:ext cx="5929301" cy="455389"/>
        </a:xfrm>
        <a:prstGeom prst="bentConnector3">
          <a:avLst>
            <a:gd name="adj1" fmla="val 31205"/>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411633</xdr:colOff>
      <xdr:row>4</xdr:row>
      <xdr:rowOff>142165</xdr:rowOff>
    </xdr:from>
    <xdr:to>
      <xdr:col>26</xdr:col>
      <xdr:colOff>242096</xdr:colOff>
      <xdr:row>10</xdr:row>
      <xdr:rowOff>167012</xdr:rowOff>
    </xdr:to>
    <xdr:cxnSp macro="">
      <xdr:nvCxnSpPr>
        <xdr:cNvPr id="57" name="Connector: Elbow 153">
          <a:extLst>
            <a:ext uri="{FF2B5EF4-FFF2-40B4-BE49-F238E27FC236}">
              <a16:creationId xmlns:a16="http://schemas.microsoft.com/office/drawing/2014/main" id="{60198815-AF31-884C-930D-B7F1770CCB4E}"/>
            </a:ext>
          </a:extLst>
        </xdr:cNvPr>
        <xdr:cNvCxnSpPr/>
      </xdr:nvCxnSpPr>
      <xdr:spPr>
        <a:xfrm>
          <a:off x="19448933" y="1018465"/>
          <a:ext cx="3500763" cy="1332947"/>
        </a:xfrm>
        <a:prstGeom prst="bentConnector3">
          <a:avLst>
            <a:gd name="adj1" fmla="val 9812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284714</xdr:colOff>
      <xdr:row>4</xdr:row>
      <xdr:rowOff>76200</xdr:rowOff>
    </xdr:from>
    <xdr:to>
      <xdr:col>5</xdr:col>
      <xdr:colOff>295275</xdr:colOff>
      <xdr:row>12</xdr:row>
      <xdr:rowOff>114300</xdr:rowOff>
    </xdr:to>
    <xdr:cxnSp macro="">
      <xdr:nvCxnSpPr>
        <xdr:cNvPr id="58" name="Straight Connector 57">
          <a:extLst>
            <a:ext uri="{FF2B5EF4-FFF2-40B4-BE49-F238E27FC236}">
              <a16:creationId xmlns:a16="http://schemas.microsoft.com/office/drawing/2014/main" id="{E3BD5D68-B7B0-C249-ABA9-926A785E1E5C}"/>
            </a:ext>
          </a:extLst>
        </xdr:cNvPr>
        <xdr:cNvCxnSpPr/>
      </xdr:nvCxnSpPr>
      <xdr:spPr>
        <a:xfrm>
          <a:off x="14356314" y="952500"/>
          <a:ext cx="10561" cy="1879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114802</xdr:colOff>
      <xdr:row>5</xdr:row>
      <xdr:rowOff>106467</xdr:rowOff>
    </xdr:from>
    <xdr:to>
      <xdr:col>30</xdr:col>
      <xdr:colOff>882156</xdr:colOff>
      <xdr:row>7</xdr:row>
      <xdr:rowOff>7175</xdr:rowOff>
    </xdr:to>
    <xdr:cxnSp macro="">
      <xdr:nvCxnSpPr>
        <xdr:cNvPr id="59" name="Connector: Elbow 168">
          <a:extLst>
            <a:ext uri="{FF2B5EF4-FFF2-40B4-BE49-F238E27FC236}">
              <a16:creationId xmlns:a16="http://schemas.microsoft.com/office/drawing/2014/main" id="{82559F31-7E48-0944-9F0C-EB4069710114}"/>
            </a:ext>
          </a:extLst>
        </xdr:cNvPr>
        <xdr:cNvCxnSpPr/>
      </xdr:nvCxnSpPr>
      <xdr:spPr>
        <a:xfrm flipV="1">
          <a:off x="8075621" y="1071523"/>
          <a:ext cx="5632100" cy="280991"/>
        </a:xfrm>
        <a:prstGeom prst="bentConnector3">
          <a:avLst>
            <a:gd name="adj1" fmla="val -19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412040</xdr:colOff>
      <xdr:row>5</xdr:row>
      <xdr:rowOff>106494</xdr:rowOff>
    </xdr:from>
    <xdr:to>
      <xdr:col>28</xdr:col>
      <xdr:colOff>412570</xdr:colOff>
      <xdr:row>7</xdr:row>
      <xdr:rowOff>10763</xdr:rowOff>
    </xdr:to>
    <xdr:cxnSp macro="">
      <xdr:nvCxnSpPr>
        <xdr:cNvPr id="60" name="Straight Connector 59">
          <a:extLst>
            <a:ext uri="{FF2B5EF4-FFF2-40B4-BE49-F238E27FC236}">
              <a16:creationId xmlns:a16="http://schemas.microsoft.com/office/drawing/2014/main" id="{DC0AC48D-35B4-1049-96C1-6411102237E6}"/>
            </a:ext>
          </a:extLst>
        </xdr:cNvPr>
        <xdr:cNvCxnSpPr/>
      </xdr:nvCxnSpPr>
      <xdr:spPr>
        <a:xfrm flipH="1" flipV="1">
          <a:off x="11268029" y="1071550"/>
          <a:ext cx="530" cy="2845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398577</xdr:colOff>
      <xdr:row>7</xdr:row>
      <xdr:rowOff>0</xdr:rowOff>
    </xdr:from>
    <xdr:to>
      <xdr:col>32</xdr:col>
      <xdr:colOff>402719</xdr:colOff>
      <xdr:row>9</xdr:row>
      <xdr:rowOff>178076</xdr:rowOff>
    </xdr:to>
    <xdr:cxnSp macro="">
      <xdr:nvCxnSpPr>
        <xdr:cNvPr id="61" name="Straight Arrow Connector 60">
          <a:extLst>
            <a:ext uri="{FF2B5EF4-FFF2-40B4-BE49-F238E27FC236}">
              <a16:creationId xmlns:a16="http://schemas.microsoft.com/office/drawing/2014/main" id="{70C88B70-8076-0743-AA0A-FBD2CD280CE7}"/>
            </a:ext>
          </a:extLst>
        </xdr:cNvPr>
        <xdr:cNvCxnSpPr/>
      </xdr:nvCxnSpPr>
      <xdr:spPr>
        <a:xfrm flipH="1">
          <a:off x="14673377" y="1371600"/>
          <a:ext cx="4142" cy="56754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6</xdr:row>
      <xdr:rowOff>104775</xdr:rowOff>
    </xdr:from>
    <xdr:to>
      <xdr:col>18</xdr:col>
      <xdr:colOff>147637</xdr:colOff>
      <xdr:row>8</xdr:row>
      <xdr:rowOff>95250</xdr:rowOff>
    </xdr:to>
    <xdr:cxnSp macro="">
      <xdr:nvCxnSpPr>
        <xdr:cNvPr id="62" name="Connector: Elbow 191">
          <a:extLst>
            <a:ext uri="{FF2B5EF4-FFF2-40B4-BE49-F238E27FC236}">
              <a16:creationId xmlns:a16="http://schemas.microsoft.com/office/drawing/2014/main" id="{B2D001F5-3145-3B4D-8882-297458B9BD42}"/>
            </a:ext>
          </a:extLst>
        </xdr:cNvPr>
        <xdr:cNvCxnSpPr/>
      </xdr:nvCxnSpPr>
      <xdr:spPr>
        <a:xfrm>
          <a:off x="15446375" y="1438275"/>
          <a:ext cx="4157662" cy="460375"/>
        </a:xfrm>
        <a:prstGeom prst="bentConnector3">
          <a:avLst>
            <a:gd name="adj1" fmla="val 99939"/>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DF08-DFB7-47A3-A764-BCEE1BB44CD4}">
  <dimension ref="B1:AW73"/>
  <sheetViews>
    <sheetView showGridLines="0" topLeftCell="A11" zoomScale="150" zoomScaleNormal="100" workbookViewId="0">
      <selection activeCell="K31" sqref="K31"/>
    </sheetView>
  </sheetViews>
  <sheetFormatPr baseColWidth="10" defaultColWidth="8.83203125" defaultRowHeight="15" x14ac:dyDescent="0.2"/>
  <cols>
    <col min="1" max="1" width="2.6640625" customWidth="1"/>
    <col min="2" max="2" width="15.33203125" bestFit="1" customWidth="1"/>
    <col min="3" max="3" width="39.5" style="1" bestFit="1" customWidth="1"/>
    <col min="4" max="4" width="15.1640625" customWidth="1"/>
    <col min="5" max="5" width="14.6640625" customWidth="1"/>
    <col min="6" max="6" width="12.1640625" bestFit="1" customWidth="1"/>
    <col min="7" max="7" width="11.5" bestFit="1" customWidth="1"/>
    <col min="8" max="8" width="10.1640625" bestFit="1" customWidth="1"/>
    <col min="9" max="9" width="10.33203125" bestFit="1" customWidth="1"/>
    <col min="10" max="10" width="6.5" bestFit="1" customWidth="1"/>
    <col min="11" max="11" width="12.33203125" bestFit="1" customWidth="1"/>
    <col min="12" max="12" width="12.33203125" customWidth="1"/>
    <col min="13" max="13" width="3.5" customWidth="1"/>
    <col min="14" max="14" width="2.83203125" customWidth="1"/>
    <col min="15" max="15" width="5.33203125" style="2" bestFit="1" customWidth="1"/>
    <col min="16" max="16" width="4.83203125" style="2" customWidth="1"/>
    <col min="17" max="17" width="5.5" style="2" bestFit="1" customWidth="1"/>
    <col min="18" max="18" width="4.83203125" style="2" customWidth="1"/>
    <col min="19" max="19" width="5.33203125" style="2" bestFit="1" customWidth="1"/>
    <col min="20" max="21" width="5.5" style="2" bestFit="1" customWidth="1"/>
    <col min="22" max="28" width="5.5" style="2" customWidth="1"/>
    <col min="29" max="32" width="5.5" style="2" bestFit="1" customWidth="1"/>
    <col min="33" max="33" width="4.83203125" style="2" customWidth="1"/>
    <col min="34" max="34" width="5.5" style="2" bestFit="1" customWidth="1"/>
    <col min="35" max="35" width="4.5" style="2" bestFit="1" customWidth="1"/>
    <col min="36" max="36" width="5.5" style="2" bestFit="1" customWidth="1"/>
    <col min="37" max="37" width="5.83203125" style="2" customWidth="1"/>
    <col min="38" max="40" width="5.5" style="2" bestFit="1" customWidth="1"/>
    <col min="41" max="41" width="4.83203125" style="2" customWidth="1"/>
    <col min="42" max="42" width="5.5" style="2" bestFit="1" customWidth="1"/>
    <col min="43" max="43" width="4.83203125" style="2" customWidth="1"/>
    <col min="44" max="44" width="5.5" style="2" bestFit="1" customWidth="1"/>
    <col min="45" max="45" width="4.83203125" style="2" customWidth="1"/>
    <col min="46" max="48" width="5.5" style="2" bestFit="1" customWidth="1"/>
    <col min="49" max="49" width="3.33203125" customWidth="1"/>
  </cols>
  <sheetData>
    <row r="1" spans="2:49" ht="16" thickBot="1" x14ac:dyDescent="0.25"/>
    <row r="2" spans="2:49" ht="16" thickBot="1" x14ac:dyDescent="0.25">
      <c r="N2" s="7"/>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6"/>
    </row>
    <row r="3" spans="2:49" x14ac:dyDescent="0.2">
      <c r="B3" s="63" t="s">
        <v>0</v>
      </c>
      <c r="C3" s="63" t="s">
        <v>1</v>
      </c>
      <c r="D3" s="63" t="s">
        <v>2</v>
      </c>
      <c r="F3" s="55" t="s">
        <v>0</v>
      </c>
      <c r="G3" s="56" t="s">
        <v>13</v>
      </c>
      <c r="H3" s="56" t="s">
        <v>14</v>
      </c>
      <c r="I3" s="57" t="s">
        <v>15</v>
      </c>
      <c r="J3" s="58" t="s">
        <v>71</v>
      </c>
      <c r="K3" s="85" t="s">
        <v>17</v>
      </c>
      <c r="L3" s="87" t="s">
        <v>30</v>
      </c>
      <c r="M3" s="6"/>
      <c r="N3" s="8"/>
      <c r="AW3" s="9"/>
    </row>
    <row r="4" spans="2:49" ht="22" x14ac:dyDescent="0.2">
      <c r="B4" s="19" t="s">
        <v>125</v>
      </c>
      <c r="C4" s="19" t="s">
        <v>79</v>
      </c>
      <c r="D4" s="61" t="s">
        <v>4</v>
      </c>
      <c r="F4" s="19">
        <v>1</v>
      </c>
      <c r="G4" s="19">
        <v>1</v>
      </c>
      <c r="H4" s="19">
        <v>2</v>
      </c>
      <c r="I4" s="19">
        <v>3</v>
      </c>
      <c r="J4" s="93">
        <f>ROUND((G4+4*H4+I4)/6,0)</f>
        <v>2</v>
      </c>
      <c r="K4" s="86">
        <f t="shared" ref="K4:K18" si="0">((I4-G4)/6)^2</f>
        <v>0.1111111111111111</v>
      </c>
      <c r="L4" s="88" t="s">
        <v>33</v>
      </c>
      <c r="M4" s="5"/>
      <c r="N4" s="8"/>
      <c r="O4" s="37">
        <v>0</v>
      </c>
      <c r="P4" s="37"/>
      <c r="Q4" s="37">
        <f>O4+P6</f>
        <v>2</v>
      </c>
      <c r="R4" s="94"/>
      <c r="S4" s="94"/>
      <c r="T4" s="37">
        <f>Q4</f>
        <v>2</v>
      </c>
      <c r="U4" s="37"/>
      <c r="V4" s="37">
        <f>T4+U6</f>
        <v>8</v>
      </c>
      <c r="W4" s="94"/>
      <c r="X4" s="37">
        <f>V4</f>
        <v>8</v>
      </c>
      <c r="Y4" s="37"/>
      <c r="Z4" s="37">
        <f>X4+Y6</f>
        <v>13</v>
      </c>
      <c r="AA4" s="94"/>
      <c r="AB4" s="37">
        <f>Z4</f>
        <v>13</v>
      </c>
      <c r="AC4" s="37"/>
      <c r="AD4" s="37">
        <f>AB4+AC6</f>
        <v>22</v>
      </c>
      <c r="AE4" s="94"/>
      <c r="AF4" s="94"/>
      <c r="AG4" s="94"/>
      <c r="AH4" s="94"/>
      <c r="AI4" s="94"/>
      <c r="AJ4" s="94"/>
      <c r="AK4" s="94"/>
      <c r="AL4" s="94"/>
      <c r="AM4" s="94"/>
      <c r="AN4" s="94"/>
      <c r="AO4" s="94"/>
      <c r="AP4" s="94"/>
      <c r="AQ4" s="94"/>
      <c r="AR4" s="94"/>
      <c r="AS4" s="94"/>
      <c r="AT4" s="94"/>
      <c r="AU4" s="94"/>
      <c r="AV4" s="94"/>
      <c r="AW4" s="95"/>
    </row>
    <row r="5" spans="2:49" x14ac:dyDescent="0.2">
      <c r="B5" s="19" t="s">
        <v>126</v>
      </c>
      <c r="C5" s="19" t="s">
        <v>80</v>
      </c>
      <c r="D5" s="61">
        <v>1</v>
      </c>
      <c r="F5" s="19">
        <v>2</v>
      </c>
      <c r="G5" s="19">
        <v>4</v>
      </c>
      <c r="H5" s="19">
        <v>6</v>
      </c>
      <c r="I5" s="19">
        <v>10</v>
      </c>
      <c r="J5" s="93">
        <f t="shared" ref="J5:J18" si="1">ROUND((G5+4*H5+I5)/6,0)</f>
        <v>6</v>
      </c>
      <c r="K5" s="86">
        <f t="shared" si="0"/>
        <v>1</v>
      </c>
      <c r="L5" s="59"/>
      <c r="M5" s="5"/>
      <c r="N5" s="8"/>
      <c r="O5" s="37">
        <f>O6-O4</f>
        <v>0</v>
      </c>
      <c r="P5" s="119" t="s">
        <v>3</v>
      </c>
      <c r="Q5" s="37">
        <f>Q6-Q4</f>
        <v>0</v>
      </c>
      <c r="R5" s="94"/>
      <c r="S5" s="94"/>
      <c r="T5" s="37">
        <f>T6-T4</f>
        <v>4</v>
      </c>
      <c r="U5" s="96" t="s">
        <v>5</v>
      </c>
      <c r="V5" s="37">
        <f>V6-V4</f>
        <v>4</v>
      </c>
      <c r="W5" s="94"/>
      <c r="X5" s="37">
        <f>X6-X4</f>
        <v>4</v>
      </c>
      <c r="Y5" s="96" t="s">
        <v>9</v>
      </c>
      <c r="Z5" s="37">
        <f>Z6-Z4</f>
        <v>4</v>
      </c>
      <c r="AA5" s="94"/>
      <c r="AB5" s="37">
        <f>AB6-AB4</f>
        <v>4</v>
      </c>
      <c r="AC5" s="96" t="s">
        <v>10</v>
      </c>
      <c r="AD5" s="37">
        <f>AD6-AD4</f>
        <v>4</v>
      </c>
      <c r="AE5" s="94"/>
      <c r="AF5" s="94"/>
      <c r="AG5" s="94"/>
      <c r="AH5" s="94"/>
      <c r="AI5" s="94"/>
      <c r="AJ5" s="94"/>
      <c r="AK5" s="94"/>
      <c r="AL5" s="94"/>
      <c r="AM5" s="94"/>
      <c r="AN5" s="94"/>
      <c r="AO5" s="94"/>
      <c r="AP5" s="94"/>
      <c r="AQ5" s="94"/>
      <c r="AR5" s="37">
        <f>MAX(AP8,AL8)</f>
        <v>35</v>
      </c>
      <c r="AS5" s="37"/>
      <c r="AT5" s="37">
        <f>AR5+AS7</f>
        <v>36</v>
      </c>
      <c r="AU5" s="94"/>
      <c r="AV5" s="94"/>
      <c r="AW5" s="95"/>
    </row>
    <row r="6" spans="2:49" ht="21" x14ac:dyDescent="0.2">
      <c r="B6" s="19" t="s">
        <v>127</v>
      </c>
      <c r="C6" s="19" t="s">
        <v>81</v>
      </c>
      <c r="D6" s="61">
        <v>1</v>
      </c>
      <c r="F6" s="19">
        <v>3</v>
      </c>
      <c r="G6" s="19">
        <v>3</v>
      </c>
      <c r="H6" s="19">
        <v>6</v>
      </c>
      <c r="I6" s="19">
        <v>12</v>
      </c>
      <c r="J6" s="93">
        <f>FLOOR((G6+4*H6+I6)/6,1)</f>
        <v>6</v>
      </c>
      <c r="K6" s="86">
        <f t="shared" si="0"/>
        <v>2.25</v>
      </c>
      <c r="L6" s="88"/>
      <c r="M6" s="5"/>
      <c r="N6" s="8"/>
      <c r="O6" s="37">
        <f>Q6-P6</f>
        <v>0</v>
      </c>
      <c r="P6" s="37">
        <f>J4</f>
        <v>2</v>
      </c>
      <c r="Q6" s="37">
        <f>MIN(T6,T10,T14)</f>
        <v>2</v>
      </c>
      <c r="R6" s="94"/>
      <c r="S6" s="94"/>
      <c r="T6" s="37">
        <f>V6-U6</f>
        <v>6</v>
      </c>
      <c r="U6" s="37">
        <f>J5</f>
        <v>6</v>
      </c>
      <c r="V6" s="37">
        <f>MIN(AF10,X6)</f>
        <v>12</v>
      </c>
      <c r="W6" s="94"/>
      <c r="X6" s="37">
        <f>Z6-Y6</f>
        <v>12</v>
      </c>
      <c r="Y6" s="37">
        <f>J9</f>
        <v>5</v>
      </c>
      <c r="Z6" s="37">
        <f>AB6</f>
        <v>17</v>
      </c>
      <c r="AA6" s="94"/>
      <c r="AB6" s="37">
        <f>AD6-AC6</f>
        <v>17</v>
      </c>
      <c r="AC6" s="37">
        <f>J10</f>
        <v>9</v>
      </c>
      <c r="AD6" s="37">
        <f>AN10</f>
        <v>26</v>
      </c>
      <c r="AE6" s="94"/>
      <c r="AF6" s="94"/>
      <c r="AG6" s="94"/>
      <c r="AH6" s="94"/>
      <c r="AI6" s="94"/>
      <c r="AJ6" s="94"/>
      <c r="AK6" s="94"/>
      <c r="AL6" s="94"/>
      <c r="AM6" s="94"/>
      <c r="AN6" s="94"/>
      <c r="AO6" s="94"/>
      <c r="AP6" s="94"/>
      <c r="AQ6" s="94"/>
      <c r="AR6" s="37">
        <f>AR7-AR5</f>
        <v>0</v>
      </c>
      <c r="AS6" s="119" t="s">
        <v>144</v>
      </c>
      <c r="AT6" s="37">
        <f>AT7-AT5</f>
        <v>0</v>
      </c>
      <c r="AU6" s="94"/>
      <c r="AV6" s="94"/>
      <c r="AW6" s="95"/>
    </row>
    <row r="7" spans="2:49" ht="22" x14ac:dyDescent="0.2">
      <c r="B7" s="19" t="s">
        <v>128</v>
      </c>
      <c r="C7" s="19" t="s">
        <v>82</v>
      </c>
      <c r="D7" s="61">
        <v>1</v>
      </c>
      <c r="F7" s="19">
        <v>4</v>
      </c>
      <c r="G7" s="19">
        <v>5</v>
      </c>
      <c r="H7" s="19">
        <v>8</v>
      </c>
      <c r="I7" s="19">
        <v>14</v>
      </c>
      <c r="J7" s="93">
        <f>FLOOR((G7+4*H7+I7)/6,1)</f>
        <v>8</v>
      </c>
      <c r="K7" s="86">
        <f t="shared" si="0"/>
        <v>2.25</v>
      </c>
      <c r="L7" s="88" t="s">
        <v>33</v>
      </c>
      <c r="M7" s="5"/>
      <c r="N7" s="8"/>
      <c r="O7" s="94"/>
      <c r="P7" s="97"/>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37">
        <f>AT7-AS7</f>
        <v>35</v>
      </c>
      <c r="AS7" s="37">
        <v>1</v>
      </c>
      <c r="AT7" s="37">
        <f>AR13</f>
        <v>36</v>
      </c>
      <c r="AU7" s="94"/>
      <c r="AV7" s="94"/>
      <c r="AW7" s="95"/>
    </row>
    <row r="8" spans="2:49" x14ac:dyDescent="0.2">
      <c r="B8" s="104" t="s">
        <v>129</v>
      </c>
      <c r="C8" s="19" t="s">
        <v>83</v>
      </c>
      <c r="D8" s="61">
        <v>4</v>
      </c>
      <c r="F8" s="19">
        <v>5</v>
      </c>
      <c r="G8" s="19">
        <v>6</v>
      </c>
      <c r="H8" s="19">
        <v>10</v>
      </c>
      <c r="I8" s="19">
        <v>16</v>
      </c>
      <c r="J8" s="93">
        <f t="shared" si="1"/>
        <v>10</v>
      </c>
      <c r="K8" s="86">
        <f t="shared" si="0"/>
        <v>2.7777777777777781</v>
      </c>
      <c r="L8" s="59"/>
      <c r="M8" s="5"/>
      <c r="N8" s="8"/>
      <c r="O8" s="94"/>
      <c r="P8" s="94"/>
      <c r="Q8" s="94"/>
      <c r="R8" s="94"/>
      <c r="S8" s="94"/>
      <c r="T8" s="37">
        <f>Q4</f>
        <v>2</v>
      </c>
      <c r="U8" s="37"/>
      <c r="V8" s="37">
        <f>T8+U10</f>
        <v>8</v>
      </c>
      <c r="W8" s="94"/>
      <c r="X8" s="94"/>
      <c r="Y8" s="94"/>
      <c r="Z8" s="94"/>
      <c r="AA8" s="94"/>
      <c r="AB8" s="37">
        <f>V8</f>
        <v>8</v>
      </c>
      <c r="AC8" s="37"/>
      <c r="AD8" s="37">
        <f>AB8+AC10</f>
        <v>15</v>
      </c>
      <c r="AE8" s="94"/>
      <c r="AF8" s="37">
        <f>MAX(AD8,V4)</f>
        <v>15</v>
      </c>
      <c r="AG8" s="37"/>
      <c r="AH8" s="37">
        <f>AF8+AG10</f>
        <v>22</v>
      </c>
      <c r="AI8" s="94"/>
      <c r="AJ8" s="37">
        <f>AH8</f>
        <v>22</v>
      </c>
      <c r="AK8" s="37"/>
      <c r="AL8" s="37">
        <f>AJ8+AK10</f>
        <v>34</v>
      </c>
      <c r="AM8" s="94"/>
      <c r="AN8" s="37">
        <f>MAX(Z12,AD4,AP12)</f>
        <v>26</v>
      </c>
      <c r="AO8" s="37"/>
      <c r="AP8" s="37">
        <f>AN8+AO10</f>
        <v>35</v>
      </c>
      <c r="AQ8" s="94"/>
      <c r="AR8" s="94"/>
      <c r="AS8" s="94"/>
      <c r="AT8" s="94"/>
      <c r="AU8" s="94"/>
      <c r="AV8" s="94"/>
      <c r="AW8" s="95"/>
    </row>
    <row r="9" spans="2:49" x14ac:dyDescent="0.2">
      <c r="B9" s="19" t="s">
        <v>130</v>
      </c>
      <c r="C9" s="19" t="s">
        <v>84</v>
      </c>
      <c r="D9" s="61">
        <v>2</v>
      </c>
      <c r="F9" s="19">
        <v>6</v>
      </c>
      <c r="G9" s="19">
        <v>3</v>
      </c>
      <c r="H9" s="19">
        <v>5</v>
      </c>
      <c r="I9" s="19">
        <v>9</v>
      </c>
      <c r="J9" s="93">
        <f t="shared" si="1"/>
        <v>5</v>
      </c>
      <c r="K9" s="86">
        <f t="shared" si="0"/>
        <v>1</v>
      </c>
      <c r="L9" s="59"/>
      <c r="M9" s="5"/>
      <c r="N9" s="8"/>
      <c r="O9" s="94"/>
      <c r="P9" s="94"/>
      <c r="Q9" s="94"/>
      <c r="R9" s="94"/>
      <c r="S9" s="94"/>
      <c r="T9" s="37">
        <f>T10-T8</f>
        <v>1</v>
      </c>
      <c r="U9" s="96" t="s">
        <v>6</v>
      </c>
      <c r="V9" s="37">
        <f>V10-V8</f>
        <v>1</v>
      </c>
      <c r="W9" s="94"/>
      <c r="X9" s="94"/>
      <c r="Y9" s="94"/>
      <c r="Z9" s="94"/>
      <c r="AA9" s="94"/>
      <c r="AB9" s="37">
        <f>AB10-AB8</f>
        <v>1</v>
      </c>
      <c r="AC9" s="96" t="s">
        <v>11</v>
      </c>
      <c r="AD9" s="37">
        <f>AD10-AD8</f>
        <v>1</v>
      </c>
      <c r="AE9" s="94"/>
      <c r="AF9" s="37">
        <f>AF10-AF8</f>
        <v>1</v>
      </c>
      <c r="AG9" s="96" t="s">
        <v>12</v>
      </c>
      <c r="AH9" s="37">
        <f>AH10-AH8</f>
        <v>1</v>
      </c>
      <c r="AI9" s="94"/>
      <c r="AJ9" s="37">
        <f>AJ10-AJ8</f>
        <v>1</v>
      </c>
      <c r="AK9" s="96" t="s">
        <v>140</v>
      </c>
      <c r="AL9" s="37">
        <f>AL10-AL8</f>
        <v>1</v>
      </c>
      <c r="AM9" s="94"/>
      <c r="AN9" s="37">
        <f>AN10-AN8</f>
        <v>0</v>
      </c>
      <c r="AO9" s="119" t="s">
        <v>143</v>
      </c>
      <c r="AP9" s="37">
        <f>AP10-AP8</f>
        <v>0</v>
      </c>
      <c r="AQ9" s="94"/>
      <c r="AR9" s="94"/>
      <c r="AS9" s="94"/>
      <c r="AT9" s="94"/>
      <c r="AU9" s="94"/>
      <c r="AV9" s="94"/>
      <c r="AW9" s="95"/>
    </row>
    <row r="10" spans="2:49" x14ac:dyDescent="0.2">
      <c r="B10" s="19" t="s">
        <v>131</v>
      </c>
      <c r="C10" s="19" t="s">
        <v>85</v>
      </c>
      <c r="D10" s="61">
        <v>6</v>
      </c>
      <c r="F10" s="19">
        <v>7</v>
      </c>
      <c r="G10" s="19">
        <v>5</v>
      </c>
      <c r="H10" s="19">
        <v>9</v>
      </c>
      <c r="I10" s="19">
        <v>18</v>
      </c>
      <c r="J10" s="93">
        <f>FLOOR((G10+4*H10+I10)/6,1)</f>
        <v>9</v>
      </c>
      <c r="K10" s="86">
        <f t="shared" si="0"/>
        <v>4.6944444444444438</v>
      </c>
      <c r="L10" s="59"/>
      <c r="M10" s="5"/>
      <c r="N10" s="8"/>
      <c r="O10" s="94"/>
      <c r="P10" s="94"/>
      <c r="Q10" s="94"/>
      <c r="R10" s="94"/>
      <c r="S10" s="94"/>
      <c r="T10" s="37">
        <f>V10-U10</f>
        <v>3</v>
      </c>
      <c r="U10" s="37">
        <f>J6</f>
        <v>6</v>
      </c>
      <c r="V10" s="37">
        <f>AB10</f>
        <v>9</v>
      </c>
      <c r="W10" s="94"/>
      <c r="X10" s="94"/>
      <c r="Y10" s="94"/>
      <c r="Z10" s="94"/>
      <c r="AA10" s="94"/>
      <c r="AB10" s="37">
        <f>AD10-AC10</f>
        <v>9</v>
      </c>
      <c r="AC10" s="37">
        <f>J11</f>
        <v>7</v>
      </c>
      <c r="AD10" s="37">
        <f>AF10</f>
        <v>16</v>
      </c>
      <c r="AE10" s="94"/>
      <c r="AF10" s="37">
        <f>AH10-AG10</f>
        <v>16</v>
      </c>
      <c r="AG10" s="37">
        <f>J12</f>
        <v>7</v>
      </c>
      <c r="AH10" s="37">
        <f>AJ10</f>
        <v>23</v>
      </c>
      <c r="AI10" s="94"/>
      <c r="AJ10" s="37">
        <f>AL10-AK10</f>
        <v>23</v>
      </c>
      <c r="AK10" s="37">
        <f>J13</f>
        <v>12</v>
      </c>
      <c r="AL10" s="37">
        <f>AR7</f>
        <v>35</v>
      </c>
      <c r="AM10" s="94"/>
      <c r="AN10" s="37">
        <f>AP10-AO10</f>
        <v>26</v>
      </c>
      <c r="AO10" s="37">
        <f>J16</f>
        <v>9</v>
      </c>
      <c r="AP10" s="37">
        <f>AR7</f>
        <v>35</v>
      </c>
      <c r="AQ10" s="94"/>
      <c r="AR10" s="94"/>
      <c r="AS10" s="94"/>
      <c r="AT10" s="94"/>
      <c r="AU10" s="94"/>
      <c r="AV10" s="94"/>
      <c r="AW10" s="95"/>
    </row>
    <row r="11" spans="2:49" ht="21" x14ac:dyDescent="0.2">
      <c r="B11" s="19" t="s">
        <v>132</v>
      </c>
      <c r="C11" s="19" t="s">
        <v>86</v>
      </c>
      <c r="D11" s="61">
        <v>3</v>
      </c>
      <c r="F11" s="19">
        <v>8</v>
      </c>
      <c r="G11" s="19">
        <v>4</v>
      </c>
      <c r="H11" s="19">
        <v>7</v>
      </c>
      <c r="I11" s="19">
        <v>13</v>
      </c>
      <c r="J11" s="93">
        <f>FLOOR((G11+4*H11+I11)/6,1)</f>
        <v>7</v>
      </c>
      <c r="K11" s="86">
        <f t="shared" si="0"/>
        <v>2.25</v>
      </c>
      <c r="L11" s="88"/>
      <c r="M11" s="5"/>
      <c r="N11" s="8"/>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37">
        <f>AT5</f>
        <v>36</v>
      </c>
      <c r="AS11" s="37"/>
      <c r="AT11" s="37">
        <f>AR11+AS13</f>
        <v>41</v>
      </c>
      <c r="AU11" s="94"/>
      <c r="AV11" s="94"/>
      <c r="AW11" s="95"/>
    </row>
    <row r="12" spans="2:49" ht="21" x14ac:dyDescent="0.2">
      <c r="B12" s="19" t="s">
        <v>133</v>
      </c>
      <c r="C12" s="19" t="s">
        <v>87</v>
      </c>
      <c r="D12" s="61" t="s">
        <v>77</v>
      </c>
      <c r="F12" s="19">
        <v>9</v>
      </c>
      <c r="G12" s="19">
        <v>4</v>
      </c>
      <c r="H12" s="19">
        <v>7</v>
      </c>
      <c r="I12" s="19">
        <v>11</v>
      </c>
      <c r="J12" s="93">
        <f t="shared" si="1"/>
        <v>7</v>
      </c>
      <c r="K12" s="86">
        <f t="shared" si="0"/>
        <v>1.3611111111111114</v>
      </c>
      <c r="L12" s="88"/>
      <c r="M12" s="5"/>
      <c r="N12" s="8"/>
      <c r="O12" s="94"/>
      <c r="P12" s="94"/>
      <c r="Q12" s="94"/>
      <c r="R12" s="94"/>
      <c r="S12" s="94"/>
      <c r="T12" s="37">
        <f>Q4</f>
        <v>2</v>
      </c>
      <c r="U12" s="98"/>
      <c r="V12" s="37">
        <f>T12+U14</f>
        <v>10</v>
      </c>
      <c r="W12" s="94"/>
      <c r="X12" s="37">
        <f>V12</f>
        <v>10</v>
      </c>
      <c r="Y12" s="37"/>
      <c r="Z12" s="37">
        <f>X12+Y14</f>
        <v>20</v>
      </c>
      <c r="AA12" s="94"/>
      <c r="AB12" s="94"/>
      <c r="AC12" s="94"/>
      <c r="AD12" s="94"/>
      <c r="AE12" s="94"/>
      <c r="AF12" s="94"/>
      <c r="AG12" s="94"/>
      <c r="AH12" s="94"/>
      <c r="AI12" s="94"/>
      <c r="AJ12" s="37">
        <f>V12</f>
        <v>10</v>
      </c>
      <c r="AK12" s="37"/>
      <c r="AL12" s="37">
        <f>AJ12+AK14</f>
        <v>19</v>
      </c>
      <c r="AM12" s="94"/>
      <c r="AN12" s="37">
        <f>AL12</f>
        <v>19</v>
      </c>
      <c r="AO12" s="37"/>
      <c r="AP12" s="37">
        <f>AN12+AO14</f>
        <v>26</v>
      </c>
      <c r="AQ12" s="94"/>
      <c r="AR12" s="37">
        <f>AR13-AR11</f>
        <v>0</v>
      </c>
      <c r="AS12" s="119" t="s">
        <v>145</v>
      </c>
      <c r="AT12" s="37">
        <f>AT13-AT11</f>
        <v>0</v>
      </c>
      <c r="AU12" s="94"/>
      <c r="AV12" s="94"/>
      <c r="AW12" s="95"/>
    </row>
    <row r="13" spans="2:49" ht="21" x14ac:dyDescent="0.2">
      <c r="B13" s="19" t="s">
        <v>134</v>
      </c>
      <c r="C13" s="19" t="s">
        <v>91</v>
      </c>
      <c r="D13" s="61">
        <v>9</v>
      </c>
      <c r="F13" s="19">
        <v>10</v>
      </c>
      <c r="G13" s="19">
        <v>7</v>
      </c>
      <c r="H13" s="19">
        <v>12</v>
      </c>
      <c r="I13" s="19">
        <v>20</v>
      </c>
      <c r="J13" s="93">
        <f>FLOOR((G13+4*H13+I13)/6,1)</f>
        <v>12</v>
      </c>
      <c r="K13" s="86">
        <f t="shared" si="0"/>
        <v>4.6944444444444438</v>
      </c>
      <c r="L13" s="88"/>
      <c r="M13" s="5"/>
      <c r="N13" s="8"/>
      <c r="O13" s="94"/>
      <c r="P13" s="94"/>
      <c r="Q13" s="94"/>
      <c r="R13" s="94"/>
      <c r="S13" s="94"/>
      <c r="T13" s="37">
        <f>T14-T12</f>
        <v>0</v>
      </c>
      <c r="U13" s="119" t="s">
        <v>7</v>
      </c>
      <c r="V13" s="37">
        <f>V14-V12</f>
        <v>0</v>
      </c>
      <c r="W13" s="94"/>
      <c r="X13" s="37">
        <f>X14-X12</f>
        <v>6</v>
      </c>
      <c r="Y13" s="96" t="s">
        <v>8</v>
      </c>
      <c r="Z13" s="37">
        <f>Z14-Z12</f>
        <v>6</v>
      </c>
      <c r="AA13" s="94"/>
      <c r="AB13" s="94"/>
      <c r="AC13" s="94"/>
      <c r="AD13" s="94"/>
      <c r="AE13" s="94"/>
      <c r="AF13" s="94"/>
      <c r="AG13" s="94"/>
      <c r="AH13" s="94"/>
      <c r="AI13" s="94"/>
      <c r="AJ13" s="37">
        <f>AJ14-AJ12</f>
        <v>0</v>
      </c>
      <c r="AK13" s="119" t="s">
        <v>141</v>
      </c>
      <c r="AL13" s="37">
        <f>AL14-AL12</f>
        <v>0</v>
      </c>
      <c r="AM13" s="94"/>
      <c r="AN13" s="37">
        <f>AN14-AN12</f>
        <v>0</v>
      </c>
      <c r="AO13" s="119" t="s">
        <v>142</v>
      </c>
      <c r="AP13" s="37">
        <f>AP14-AP12</f>
        <v>0</v>
      </c>
      <c r="AQ13" s="94"/>
      <c r="AR13" s="37">
        <f>AT13-AS13</f>
        <v>36</v>
      </c>
      <c r="AS13" s="37">
        <v>5</v>
      </c>
      <c r="AT13" s="37">
        <f>AT11</f>
        <v>41</v>
      </c>
      <c r="AU13" s="94"/>
      <c r="AV13" s="94"/>
      <c r="AW13" s="95"/>
    </row>
    <row r="14" spans="2:49" ht="22" x14ac:dyDescent="0.2">
      <c r="B14" s="19" t="s">
        <v>135</v>
      </c>
      <c r="C14" s="19" t="s">
        <v>92</v>
      </c>
      <c r="D14" s="61">
        <v>4</v>
      </c>
      <c r="F14" s="19">
        <v>11</v>
      </c>
      <c r="G14" s="19">
        <v>6</v>
      </c>
      <c r="H14" s="19">
        <v>9</v>
      </c>
      <c r="I14" s="19">
        <v>14</v>
      </c>
      <c r="J14" s="93">
        <f t="shared" si="1"/>
        <v>9</v>
      </c>
      <c r="K14" s="86">
        <f t="shared" si="0"/>
        <v>1.7777777777777777</v>
      </c>
      <c r="L14" s="88" t="s">
        <v>33</v>
      </c>
      <c r="M14" s="5"/>
      <c r="N14" s="8"/>
      <c r="O14" s="94"/>
      <c r="P14" s="94"/>
      <c r="Q14" s="94"/>
      <c r="R14" s="94"/>
      <c r="S14" s="94"/>
      <c r="T14" s="37">
        <f>V14-U14</f>
        <v>2</v>
      </c>
      <c r="U14" s="37">
        <f>J7</f>
        <v>8</v>
      </c>
      <c r="V14" s="37">
        <f>MIN(AJ14,X14)</f>
        <v>10</v>
      </c>
      <c r="W14" s="94"/>
      <c r="X14" s="37">
        <f>Z14-Y14</f>
        <v>16</v>
      </c>
      <c r="Y14" s="37">
        <f>J8</f>
        <v>10</v>
      </c>
      <c r="Z14" s="37">
        <f>AN10</f>
        <v>26</v>
      </c>
      <c r="AA14" s="94"/>
      <c r="AB14" s="94"/>
      <c r="AC14" s="94"/>
      <c r="AD14" s="94"/>
      <c r="AE14" s="94"/>
      <c r="AF14" s="94"/>
      <c r="AG14" s="94"/>
      <c r="AH14" s="94"/>
      <c r="AI14" s="94"/>
      <c r="AJ14" s="37">
        <f>AL14-AK14</f>
        <v>10</v>
      </c>
      <c r="AK14" s="37">
        <f>J14</f>
        <v>9</v>
      </c>
      <c r="AL14" s="37">
        <f>AN14</f>
        <v>19</v>
      </c>
      <c r="AM14" s="94"/>
      <c r="AN14" s="37">
        <f>AP14-AO14</f>
        <v>19</v>
      </c>
      <c r="AO14" s="37">
        <f>J15</f>
        <v>7</v>
      </c>
      <c r="AP14" s="37">
        <f>AN10</f>
        <v>26</v>
      </c>
      <c r="AQ14" s="94"/>
      <c r="AR14" s="94"/>
      <c r="AS14" s="94"/>
      <c r="AT14" s="94"/>
      <c r="AU14" s="94"/>
      <c r="AV14" s="94"/>
      <c r="AW14" s="95"/>
    </row>
    <row r="15" spans="2:49" ht="22" x14ac:dyDescent="0.2">
      <c r="B15" s="19" t="s">
        <v>136</v>
      </c>
      <c r="C15" s="19" t="s">
        <v>88</v>
      </c>
      <c r="D15" s="61">
        <v>11</v>
      </c>
      <c r="F15" s="19">
        <v>12</v>
      </c>
      <c r="G15" s="19">
        <v>4</v>
      </c>
      <c r="H15" s="19">
        <v>7</v>
      </c>
      <c r="I15" s="19">
        <v>13</v>
      </c>
      <c r="J15" s="93">
        <f>FLOOR((G15+4*H15+I15)/6,1)</f>
        <v>7</v>
      </c>
      <c r="K15" s="86">
        <f t="shared" si="0"/>
        <v>2.25</v>
      </c>
      <c r="L15" s="88" t="s">
        <v>33</v>
      </c>
      <c r="N15" s="8"/>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5"/>
    </row>
    <row r="16" spans="2:49" ht="23" thickBot="1" x14ac:dyDescent="0.25">
      <c r="B16" s="19" t="s">
        <v>137</v>
      </c>
      <c r="C16" s="4" t="s">
        <v>89</v>
      </c>
      <c r="D16" s="61" t="s">
        <v>94</v>
      </c>
      <c r="F16" s="19">
        <v>13</v>
      </c>
      <c r="G16" s="19">
        <v>5</v>
      </c>
      <c r="H16" s="19">
        <v>9</v>
      </c>
      <c r="I16" s="19">
        <v>15</v>
      </c>
      <c r="J16" s="93">
        <f t="shared" si="1"/>
        <v>9</v>
      </c>
      <c r="K16" s="86">
        <f t="shared" si="0"/>
        <v>2.7777777777777781</v>
      </c>
      <c r="L16" s="88" t="s">
        <v>33</v>
      </c>
      <c r="M16" s="2"/>
      <c r="N16" s="10"/>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100"/>
      <c r="AV16" s="100"/>
      <c r="AW16" s="101"/>
    </row>
    <row r="17" spans="2:48" ht="22" x14ac:dyDescent="0.2">
      <c r="B17" s="19" t="s">
        <v>138</v>
      </c>
      <c r="C17" s="4" t="s">
        <v>90</v>
      </c>
      <c r="D17" s="61" t="s">
        <v>78</v>
      </c>
      <c r="F17" s="19">
        <v>14</v>
      </c>
      <c r="G17" s="19">
        <v>1</v>
      </c>
      <c r="H17" s="19">
        <v>1</v>
      </c>
      <c r="I17" s="19">
        <v>1</v>
      </c>
      <c r="J17" s="93">
        <f t="shared" si="1"/>
        <v>1</v>
      </c>
      <c r="K17" s="86">
        <f t="shared" si="0"/>
        <v>0</v>
      </c>
      <c r="L17" s="88" t="s">
        <v>33</v>
      </c>
      <c r="M17" s="2"/>
      <c r="N17" s="2"/>
      <c r="AU17"/>
      <c r="AV17"/>
    </row>
    <row r="18" spans="2:48" ht="22" x14ac:dyDescent="0.2">
      <c r="B18" s="19" t="s">
        <v>139</v>
      </c>
      <c r="C18" s="4" t="s">
        <v>93</v>
      </c>
      <c r="D18" s="61">
        <v>14</v>
      </c>
      <c r="F18" s="19">
        <v>15</v>
      </c>
      <c r="G18" s="19">
        <v>3</v>
      </c>
      <c r="H18" s="19">
        <v>5</v>
      </c>
      <c r="I18" s="19">
        <v>8</v>
      </c>
      <c r="J18" s="93">
        <f t="shared" si="1"/>
        <v>5</v>
      </c>
      <c r="K18" s="86">
        <f t="shared" si="0"/>
        <v>0.69444444444444453</v>
      </c>
      <c r="L18" s="88" t="s">
        <v>33</v>
      </c>
      <c r="M18" s="3"/>
      <c r="N18" s="3"/>
    </row>
    <row r="19" spans="2:48" x14ac:dyDescent="0.2">
      <c r="C19" s="54"/>
      <c r="D19" s="62"/>
      <c r="F19" s="3"/>
      <c r="G19" s="3"/>
      <c r="H19" s="3"/>
      <c r="I19" s="3"/>
      <c r="J19" s="5"/>
      <c r="K19" s="5"/>
      <c r="L19" s="5"/>
      <c r="M19" s="3"/>
      <c r="N19" s="3"/>
      <c r="S19" s="90"/>
      <c r="T19" s="91"/>
      <c r="U19" s="90"/>
      <c r="V19" s="91"/>
      <c r="W19" s="90"/>
      <c r="X19" s="90"/>
      <c r="Y19" s="90"/>
      <c r="Z19" s="90"/>
    </row>
    <row r="20" spans="2:48" x14ac:dyDescent="0.2">
      <c r="D20" s="62"/>
      <c r="F20" s="3"/>
      <c r="G20" s="3"/>
      <c r="H20" s="3"/>
      <c r="I20" s="3"/>
      <c r="J20" s="5"/>
      <c r="K20" s="5"/>
      <c r="L20" s="5"/>
      <c r="M20" s="3"/>
      <c r="N20" s="3"/>
      <c r="S20" s="89"/>
      <c r="T20" s="92"/>
      <c r="U20" s="89"/>
      <c r="V20" s="92"/>
      <c r="W20" s="89"/>
      <c r="X20" s="89"/>
      <c r="Y20" s="89"/>
      <c r="Z20" s="89"/>
    </row>
    <row r="21" spans="2:48" x14ac:dyDescent="0.2">
      <c r="D21" s="62"/>
      <c r="F21" s="3"/>
      <c r="G21" s="3"/>
      <c r="H21" s="3"/>
      <c r="I21" s="3"/>
      <c r="J21" s="5"/>
      <c r="K21" s="5"/>
      <c r="L21" s="5"/>
      <c r="M21" s="3"/>
      <c r="N21" s="3"/>
      <c r="S21" s="89"/>
      <c r="T21" s="92"/>
      <c r="U21" s="89"/>
      <c r="V21" s="92"/>
      <c r="W21" s="89"/>
      <c r="X21" s="89"/>
      <c r="Y21" s="89"/>
      <c r="Z21" s="89"/>
    </row>
    <row r="22" spans="2:48" x14ac:dyDescent="0.2">
      <c r="D22" s="62"/>
      <c r="F22" s="3"/>
      <c r="G22" s="3"/>
      <c r="H22" s="3"/>
      <c r="I22" s="3"/>
      <c r="J22" s="5"/>
      <c r="K22" s="5"/>
      <c r="L22" s="5"/>
      <c r="M22" s="3"/>
      <c r="N22" s="3"/>
      <c r="S22" s="89"/>
      <c r="T22" s="92"/>
      <c r="U22" s="89"/>
      <c r="V22" s="92"/>
      <c r="W22" s="89"/>
      <c r="X22" s="89"/>
      <c r="Y22" s="89"/>
      <c r="Z22" s="89"/>
    </row>
    <row r="23" spans="2:48" x14ac:dyDescent="0.2">
      <c r="D23" s="62"/>
      <c r="F23" s="3"/>
      <c r="G23" s="3"/>
      <c r="H23" s="3"/>
      <c r="I23" s="3"/>
      <c r="J23" s="5"/>
      <c r="K23" s="5"/>
      <c r="L23" s="5"/>
      <c r="M23" s="3"/>
      <c r="N23" s="3"/>
      <c r="S23" s="89"/>
      <c r="T23" s="92"/>
      <c r="U23" s="89"/>
      <c r="V23" s="92"/>
      <c r="W23" s="89"/>
      <c r="X23" s="89"/>
      <c r="Y23" s="89"/>
      <c r="Z23" s="89"/>
    </row>
    <row r="24" spans="2:48" ht="16" thickBot="1" x14ac:dyDescent="0.25">
      <c r="B24" s="3"/>
      <c r="C24" s="54"/>
      <c r="D24" s="3"/>
      <c r="F24" s="3"/>
      <c r="G24" s="3"/>
      <c r="H24" s="3"/>
      <c r="I24" s="3"/>
      <c r="J24" s="5"/>
      <c r="K24" s="5"/>
      <c r="L24" s="5"/>
      <c r="M24" s="3"/>
      <c r="N24" s="3"/>
      <c r="S24" s="89"/>
      <c r="T24" s="92"/>
      <c r="U24" s="89"/>
      <c r="V24" s="92"/>
      <c r="W24" s="89"/>
      <c r="X24" s="89"/>
      <c r="Y24" s="89"/>
      <c r="Z24" s="89"/>
    </row>
    <row r="25" spans="2:48" x14ac:dyDescent="0.2">
      <c r="B25" s="3"/>
      <c r="C25" s="54"/>
      <c r="D25" s="3"/>
      <c r="F25" s="3"/>
      <c r="G25" s="3"/>
      <c r="H25" s="69" t="s">
        <v>96</v>
      </c>
      <c r="I25" s="70" t="s">
        <v>97</v>
      </c>
      <c r="J25" s="5"/>
      <c r="K25" s="5"/>
      <c r="L25" s="5"/>
      <c r="M25" s="3"/>
      <c r="N25" s="3"/>
      <c r="S25" s="89"/>
      <c r="T25" s="92"/>
      <c r="U25" s="89"/>
      <c r="V25" s="92"/>
      <c r="W25" s="89"/>
      <c r="X25" s="89"/>
      <c r="Y25" s="89"/>
      <c r="Z25" s="89"/>
    </row>
    <row r="26" spans="2:48" x14ac:dyDescent="0.2">
      <c r="H26" s="71">
        <v>44</v>
      </c>
      <c r="I26" s="72">
        <f>_xlfn.NORM.DIST($K$39,H26,$C$38,TRUE)</f>
        <v>0.62492702979024917</v>
      </c>
      <c r="M26" s="3"/>
      <c r="N26" s="3"/>
      <c r="S26" s="89"/>
      <c r="T26" s="92"/>
      <c r="U26" s="89"/>
      <c r="V26" s="92"/>
      <c r="W26" s="89"/>
      <c r="X26" s="89"/>
      <c r="Y26" s="89"/>
      <c r="Z26" s="89"/>
    </row>
    <row r="27" spans="2:48" x14ac:dyDescent="0.2">
      <c r="B27" s="63" t="s">
        <v>95</v>
      </c>
      <c r="C27" s="63" t="s">
        <v>18</v>
      </c>
      <c r="D27" s="63" t="s">
        <v>72</v>
      </c>
      <c r="E27" s="63" t="s">
        <v>17</v>
      </c>
      <c r="H27" s="71">
        <v>43</v>
      </c>
      <c r="I27" s="72">
        <f t="shared" ref="I27:I29" si="2">_xlfn.NORM.DIST($K$39,H27,$C$38,TRUE)</f>
        <v>0.73790301232870581</v>
      </c>
      <c r="K27" s="2"/>
      <c r="L27" s="2"/>
      <c r="M27" s="3"/>
      <c r="N27" s="3"/>
      <c r="S27" s="89"/>
      <c r="T27" s="92"/>
      <c r="U27" s="89"/>
      <c r="V27" s="92"/>
      <c r="W27" s="89"/>
      <c r="X27" s="89"/>
      <c r="Y27" s="89"/>
      <c r="Z27" s="89"/>
    </row>
    <row r="28" spans="2:48" x14ac:dyDescent="0.2">
      <c r="B28" s="19">
        <v>1</v>
      </c>
      <c r="C28" s="19" t="s">
        <v>79</v>
      </c>
      <c r="D28" s="60">
        <f>VLOOKUP(C28,C4:J18,8,0)</f>
        <v>2</v>
      </c>
      <c r="E28" s="59">
        <f>VLOOKUP(C28,C4:K18,9,0)</f>
        <v>0.1111111111111111</v>
      </c>
      <c r="F28" s="3"/>
      <c r="G28" s="3"/>
      <c r="H28" s="71">
        <v>42</v>
      </c>
      <c r="I28" s="72">
        <f t="shared" si="2"/>
        <v>0.83029731106341353</v>
      </c>
      <c r="J28" s="3"/>
      <c r="K28" s="2"/>
      <c r="L28" s="2"/>
      <c r="M28" s="3"/>
      <c r="N28" s="3"/>
      <c r="S28" s="89"/>
      <c r="T28" s="92"/>
      <c r="U28" s="89"/>
      <c r="V28" s="92"/>
      <c r="W28" s="89"/>
      <c r="X28" s="89"/>
      <c r="Y28" s="89"/>
      <c r="Z28" s="89"/>
    </row>
    <row r="29" spans="2:48" x14ac:dyDescent="0.2">
      <c r="B29" s="19">
        <v>4</v>
      </c>
      <c r="C29" s="19" t="s">
        <v>82</v>
      </c>
      <c r="D29" s="60">
        <f>VLOOKUP(C29,C5:J19,8,0)</f>
        <v>8</v>
      </c>
      <c r="E29" s="59">
        <f>VLOOKUP(C29,C5:K19,9,0)</f>
        <v>2.25</v>
      </c>
      <c r="F29" s="3"/>
      <c r="G29" s="3"/>
      <c r="H29" s="71">
        <v>41</v>
      </c>
      <c r="I29" s="72">
        <f t="shared" si="2"/>
        <v>0.89863067469397073</v>
      </c>
      <c r="J29" s="3"/>
      <c r="K29" s="3"/>
      <c r="L29" s="3"/>
      <c r="M29" s="3"/>
      <c r="N29" s="3"/>
      <c r="S29" s="89"/>
      <c r="T29" s="92"/>
      <c r="U29" s="89"/>
      <c r="V29" s="92"/>
      <c r="W29" s="89"/>
      <c r="X29" s="89"/>
      <c r="Y29" s="89"/>
      <c r="Z29" s="89"/>
    </row>
    <row r="30" spans="2:48" x14ac:dyDescent="0.2">
      <c r="B30" s="19">
        <v>11</v>
      </c>
      <c r="C30" s="19" t="s">
        <v>92</v>
      </c>
      <c r="D30" s="60">
        <f>VLOOKUP(C30,C6:J25,8,0)</f>
        <v>9</v>
      </c>
      <c r="E30" s="59">
        <f>VLOOKUP(C30,C6:K25,9,0)</f>
        <v>1.7777777777777777</v>
      </c>
      <c r="F30" s="3"/>
      <c r="G30" s="3"/>
      <c r="H30" s="71">
        <v>40</v>
      </c>
      <c r="I30" s="72">
        <f>_xlfn.NORM.DIST($K$39,H30,$C$38,TRUE)</f>
        <v>0.9443340078911594</v>
      </c>
      <c r="J30" s="3"/>
      <c r="K30" s="3"/>
      <c r="L30" s="3"/>
      <c r="M30" s="3"/>
      <c r="N30" s="3"/>
      <c r="S30" s="89"/>
      <c r="T30" s="92"/>
      <c r="U30" s="89"/>
      <c r="V30" s="92"/>
      <c r="W30" s="89"/>
      <c r="X30" s="89"/>
      <c r="Y30" s="89"/>
      <c r="Z30" s="89"/>
    </row>
    <row r="31" spans="2:48" x14ac:dyDescent="0.2">
      <c r="B31" s="19">
        <v>12</v>
      </c>
      <c r="C31" s="19" t="s">
        <v>88</v>
      </c>
      <c r="D31" s="60">
        <f>VLOOKUP(C31,C7:J26,8,0)</f>
        <v>7</v>
      </c>
      <c r="E31" s="59">
        <f>VLOOKUP(C31,C7:K26,9,0)</f>
        <v>2.25</v>
      </c>
      <c r="F31" s="3"/>
      <c r="G31" s="3"/>
      <c r="H31" s="73">
        <v>39</v>
      </c>
      <c r="I31" s="74">
        <f>_xlfn.NORM.DIST($K$39,H31,$C$38,TRUE)</f>
        <v>0.97197724542323849</v>
      </c>
      <c r="J31" s="3"/>
      <c r="K31" s="3"/>
      <c r="L31" s="3"/>
      <c r="M31" s="3"/>
      <c r="N31" s="3"/>
      <c r="S31" s="89"/>
      <c r="T31" s="92"/>
      <c r="U31" s="89"/>
      <c r="V31" s="92"/>
      <c r="W31" s="89"/>
      <c r="X31" s="89"/>
      <c r="Y31" s="89"/>
      <c r="Z31" s="89"/>
    </row>
    <row r="32" spans="2:48" x14ac:dyDescent="0.2">
      <c r="B32" s="19">
        <v>13</v>
      </c>
      <c r="C32" s="4" t="s">
        <v>89</v>
      </c>
      <c r="D32" s="60">
        <f>VLOOKUP(C32,C8:J27,8,0)</f>
        <v>9</v>
      </c>
      <c r="E32" s="59">
        <f>VLOOKUP(C32,C8:K27,9,0)</f>
        <v>2.7777777777777781</v>
      </c>
      <c r="F32" s="3"/>
      <c r="G32" s="3"/>
      <c r="H32" s="71">
        <v>38</v>
      </c>
      <c r="I32" s="72">
        <f>_xlfn.NORM.DIST($K$39,H32,$C$38,TRUE)</f>
        <v>0.98709732353839119</v>
      </c>
      <c r="J32" s="3"/>
      <c r="K32" s="3"/>
      <c r="L32" s="3"/>
      <c r="M32" s="3"/>
      <c r="N32" s="3"/>
      <c r="S32" s="89"/>
      <c r="T32" s="92"/>
      <c r="U32" s="89"/>
      <c r="V32" s="92"/>
      <c r="W32" s="89"/>
      <c r="X32" s="89"/>
      <c r="Y32" s="89"/>
      <c r="Z32" s="89"/>
    </row>
    <row r="33" spans="2:26" ht="16" thickBot="1" x14ac:dyDescent="0.25">
      <c r="B33" s="19">
        <v>14</v>
      </c>
      <c r="C33" s="4" t="s">
        <v>90</v>
      </c>
      <c r="D33" s="60">
        <f>VLOOKUP(C33,C9:J28,8,0)</f>
        <v>1</v>
      </c>
      <c r="E33" s="59">
        <f>VLOOKUP(C33,C9:K28,9,0)</f>
        <v>0</v>
      </c>
      <c r="F33" s="3"/>
      <c r="G33" s="3"/>
      <c r="H33" s="75">
        <v>36</v>
      </c>
      <c r="I33" s="76">
        <f>_xlfn.NORM.DIST($K$39,H33,$C$38,TRUE)</f>
        <v>0.99792167596113779</v>
      </c>
      <c r="J33" s="3"/>
      <c r="K33" s="3"/>
      <c r="L33" s="3"/>
      <c r="M33" s="3"/>
      <c r="N33" s="3"/>
      <c r="S33" s="89"/>
      <c r="T33" s="92"/>
      <c r="U33" s="89"/>
      <c r="V33" s="92"/>
      <c r="W33" s="89"/>
      <c r="X33" s="89"/>
      <c r="Y33" s="89"/>
      <c r="Z33" s="89"/>
    </row>
    <row r="34" spans="2:26" x14ac:dyDescent="0.2">
      <c r="B34" s="19">
        <v>15</v>
      </c>
      <c r="C34" s="4" t="s">
        <v>93</v>
      </c>
      <c r="D34" s="60">
        <f>VLOOKUP(C34,C10:J29,8,0)</f>
        <v>5</v>
      </c>
      <c r="E34" s="59">
        <f>VLOOKUP(C34,C10:K29,9,0)</f>
        <v>0.69444444444444453</v>
      </c>
      <c r="F34" s="3"/>
      <c r="G34" s="3"/>
      <c r="H34" s="77"/>
      <c r="I34" s="78"/>
      <c r="J34" s="3"/>
      <c r="K34" s="3"/>
      <c r="L34" s="3"/>
      <c r="M34" s="3"/>
      <c r="N34" s="3"/>
      <c r="S34" s="89"/>
      <c r="T34" s="92"/>
      <c r="U34" s="89"/>
      <c r="V34" s="92"/>
      <c r="W34" s="89"/>
      <c r="X34" s="89"/>
      <c r="Y34" s="89"/>
      <c r="Z34" s="89"/>
    </row>
    <row r="35" spans="2:26" ht="56.25" customHeight="1" x14ac:dyDescent="0.2">
      <c r="B35" s="19"/>
      <c r="C35" s="38" t="s">
        <v>74</v>
      </c>
      <c r="D35" s="64">
        <f>SUM(D28:D34)</f>
        <v>41</v>
      </c>
      <c r="E35" s="64">
        <f>SUM(E28:E34)</f>
        <v>9.8611111111111125</v>
      </c>
      <c r="F35" s="3"/>
      <c r="G35" s="3"/>
      <c r="H35" s="77"/>
      <c r="I35" s="78"/>
      <c r="J35" s="3"/>
      <c r="K35" s="3"/>
      <c r="L35" s="3"/>
      <c r="S35" s="89"/>
      <c r="T35" s="92"/>
      <c r="U35" s="89"/>
      <c r="V35" s="92"/>
      <c r="W35" s="89"/>
      <c r="X35" s="89"/>
      <c r="Y35" s="89"/>
      <c r="Z35" s="89"/>
    </row>
    <row r="36" spans="2:26" x14ac:dyDescent="0.2">
      <c r="F36" s="3"/>
      <c r="G36" s="3"/>
      <c r="H36" s="77"/>
      <c r="I36" s="78"/>
      <c r="J36" s="3"/>
      <c r="K36" s="3"/>
      <c r="L36" s="3"/>
      <c r="S36" s="89"/>
      <c r="T36" s="92"/>
      <c r="U36" s="89"/>
      <c r="V36" s="92"/>
      <c r="W36" s="89"/>
      <c r="X36" s="89"/>
      <c r="Y36" s="89"/>
      <c r="Z36" s="89"/>
    </row>
    <row r="37" spans="2:26" ht="30" x14ac:dyDescent="0.2">
      <c r="B37" s="39" t="s">
        <v>20</v>
      </c>
      <c r="C37" s="44">
        <f>D35</f>
        <v>41</v>
      </c>
      <c r="D37" s="42"/>
      <c r="F37" s="3"/>
      <c r="G37" s="3"/>
      <c r="H37" s="3"/>
      <c r="I37" s="3"/>
      <c r="J37" s="3"/>
      <c r="K37" s="3"/>
      <c r="L37" s="3"/>
      <c r="S37" s="89"/>
      <c r="T37" s="92"/>
      <c r="U37" s="89"/>
      <c r="V37" s="92"/>
      <c r="W37" s="89"/>
      <c r="X37" s="89"/>
      <c r="Y37" s="89"/>
      <c r="Z37" s="89"/>
    </row>
    <row r="38" spans="2:26" ht="59.25" customHeight="1" thickBot="1" x14ac:dyDescent="0.25">
      <c r="B38" s="40" t="s">
        <v>19</v>
      </c>
      <c r="C38" s="45">
        <f>SQRT(E35)</f>
        <v>3.1402406135694623</v>
      </c>
      <c r="D38" s="42"/>
      <c r="E38" s="42"/>
      <c r="F38" s="34"/>
      <c r="G38" s="3"/>
      <c r="H38" s="3"/>
      <c r="I38" s="3"/>
      <c r="J38" s="3"/>
      <c r="K38" s="3"/>
      <c r="L38" s="3"/>
      <c r="S38" s="89"/>
      <c r="T38" s="92"/>
      <c r="U38" s="89"/>
      <c r="V38" s="92"/>
      <c r="W38" s="89"/>
      <c r="X38" s="89"/>
      <c r="Y38" s="89"/>
      <c r="Z38" s="89"/>
    </row>
    <row r="39" spans="2:26" ht="24.75" customHeight="1" thickBot="1" x14ac:dyDescent="0.25">
      <c r="B39" s="42"/>
      <c r="C39" s="43"/>
      <c r="D39" s="42"/>
      <c r="E39" s="42"/>
      <c r="F39" s="3"/>
      <c r="G39" s="130" t="s">
        <v>73</v>
      </c>
      <c r="H39" s="131"/>
      <c r="I39" s="131"/>
      <c r="J39" s="131"/>
      <c r="K39" s="79">
        <v>45</v>
      </c>
      <c r="L39" s="84"/>
    </row>
    <row r="40" spans="2:26" ht="30" x14ac:dyDescent="0.2">
      <c r="B40" s="41" t="s">
        <v>23</v>
      </c>
      <c r="C40" s="65">
        <f>_xlfn.NORM.DIST(K39,C37,C38,TRUE)</f>
        <v>0.89863067469397073</v>
      </c>
      <c r="D40" s="68"/>
      <c r="E40" s="42"/>
      <c r="F40" s="3"/>
      <c r="G40" s="3"/>
      <c r="H40" s="3"/>
      <c r="I40" s="3"/>
      <c r="J40" s="3"/>
      <c r="K40" s="3"/>
      <c r="L40" s="3"/>
    </row>
    <row r="41" spans="2:26" ht="32.5" customHeight="1" x14ac:dyDescent="0.2">
      <c r="B41" s="42"/>
      <c r="C41" s="43"/>
      <c r="D41" s="42"/>
      <c r="E41" s="68"/>
    </row>
    <row r="42" spans="2:26" ht="26" x14ac:dyDescent="0.3">
      <c r="B42" s="41" t="s">
        <v>21</v>
      </c>
      <c r="C42" s="66">
        <v>0.95</v>
      </c>
      <c r="D42" s="42"/>
      <c r="E42" s="42"/>
    </row>
    <row r="43" spans="2:26" ht="30" x14ac:dyDescent="0.2">
      <c r="B43" s="41" t="s">
        <v>22</v>
      </c>
      <c r="C43" s="67">
        <f>H31</f>
        <v>39</v>
      </c>
      <c r="D43" s="68"/>
      <c r="E43" s="42"/>
    </row>
    <row r="44" spans="2:26" ht="27.5" customHeight="1" x14ac:dyDescent="0.2">
      <c r="E44" s="68"/>
    </row>
    <row r="46" spans="2:26" ht="26" x14ac:dyDescent="0.3">
      <c r="C46" s="46"/>
    </row>
    <row r="54" spans="5:5" x14ac:dyDescent="0.2">
      <c r="E54" s="52"/>
    </row>
    <row r="55" spans="5:5" x14ac:dyDescent="0.2">
      <c r="E55" s="52"/>
    </row>
    <row r="56" spans="5:5" x14ac:dyDescent="0.2">
      <c r="E56" s="52"/>
    </row>
    <row r="57" spans="5:5" x14ac:dyDescent="0.2">
      <c r="E57" s="52"/>
    </row>
    <row r="58" spans="5:5" x14ac:dyDescent="0.2">
      <c r="E58" s="52"/>
    </row>
    <row r="59" spans="5:5" x14ac:dyDescent="0.2">
      <c r="E59" s="52"/>
    </row>
    <row r="60" spans="5:5" x14ac:dyDescent="0.2">
      <c r="E60" s="52"/>
    </row>
    <row r="61" spans="5:5" x14ac:dyDescent="0.2">
      <c r="E61" s="52"/>
    </row>
    <row r="62" spans="5:5" x14ac:dyDescent="0.2">
      <c r="E62" s="52"/>
    </row>
    <row r="63" spans="5:5" x14ac:dyDescent="0.2">
      <c r="E63" s="53"/>
    </row>
    <row r="64" spans="5:5" x14ac:dyDescent="0.2">
      <c r="E64" s="52"/>
    </row>
    <row r="65" spans="5:5" x14ac:dyDescent="0.2">
      <c r="E65" s="52"/>
    </row>
    <row r="66" spans="5:5" x14ac:dyDescent="0.2">
      <c r="E66" s="52"/>
    </row>
    <row r="67" spans="5:5" x14ac:dyDescent="0.2">
      <c r="E67" s="52"/>
    </row>
    <row r="68" spans="5:5" x14ac:dyDescent="0.2">
      <c r="E68" s="52"/>
    </row>
    <row r="69" spans="5:5" x14ac:dyDescent="0.2">
      <c r="E69" s="52"/>
    </row>
    <row r="70" spans="5:5" x14ac:dyDescent="0.2">
      <c r="E70" s="52"/>
    </row>
    <row r="71" spans="5:5" x14ac:dyDescent="0.2">
      <c r="E71" s="52"/>
    </row>
    <row r="72" spans="5:5" x14ac:dyDescent="0.2">
      <c r="E72" s="52"/>
    </row>
    <row r="73" spans="5:5" x14ac:dyDescent="0.2">
      <c r="E73" s="52"/>
    </row>
  </sheetData>
  <mergeCells count="1">
    <mergeCell ref="G39:J39"/>
  </mergeCells>
  <conditionalFormatting sqref="O5">
    <cfRule type="cellIs" dxfId="83" priority="16" operator="equal">
      <formula>0</formula>
    </cfRule>
  </conditionalFormatting>
  <conditionalFormatting sqref="T5">
    <cfRule type="cellIs" dxfId="82" priority="14" operator="equal">
      <formula>0</formula>
    </cfRule>
  </conditionalFormatting>
  <conditionalFormatting sqref="T9">
    <cfRule type="cellIs" dxfId="81" priority="15" operator="equal">
      <formula>0</formula>
    </cfRule>
  </conditionalFormatting>
  <conditionalFormatting sqref="T13">
    <cfRule type="cellIs" dxfId="80" priority="13" operator="equal">
      <formula>0</formula>
    </cfRule>
  </conditionalFormatting>
  <conditionalFormatting sqref="X5">
    <cfRule type="cellIs" dxfId="79" priority="12" operator="equal">
      <formula>0</formula>
    </cfRule>
  </conditionalFormatting>
  <conditionalFormatting sqref="AB5">
    <cfRule type="cellIs" dxfId="78" priority="11" operator="equal">
      <formula>0</formula>
    </cfRule>
  </conditionalFormatting>
  <conditionalFormatting sqref="AB9">
    <cfRule type="cellIs" dxfId="77" priority="10" operator="equal">
      <formula>0</formula>
    </cfRule>
  </conditionalFormatting>
  <conditionalFormatting sqref="AF9">
    <cfRule type="cellIs" dxfId="76" priority="9" operator="equal">
      <formula>0</formula>
    </cfRule>
  </conditionalFormatting>
  <conditionalFormatting sqref="AJ9">
    <cfRule type="cellIs" dxfId="75" priority="8" operator="equal">
      <formula>0</formula>
    </cfRule>
  </conditionalFormatting>
  <conditionalFormatting sqref="AJ13">
    <cfRule type="cellIs" dxfId="74" priority="6" operator="equal">
      <formula>0</formula>
    </cfRule>
  </conditionalFormatting>
  <conditionalFormatting sqref="AN9">
    <cfRule type="cellIs" dxfId="73" priority="7" operator="equal">
      <formula>0</formula>
    </cfRule>
  </conditionalFormatting>
  <conditionalFormatting sqref="AN13">
    <cfRule type="cellIs" dxfId="72" priority="5" operator="equal">
      <formula>0</formula>
    </cfRule>
  </conditionalFormatting>
  <conditionalFormatting sqref="AR6">
    <cfRule type="cellIs" dxfId="71" priority="1" operator="equal">
      <formula>0</formula>
    </cfRule>
  </conditionalFormatting>
  <conditionalFormatting sqref="AR12">
    <cfRule type="cellIs" dxfId="70" priority="2" operator="equal">
      <formula>0</formula>
    </cfRule>
  </conditionalFormatting>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F422-851E-4489-8EF7-629B266F5F9F}">
  <dimension ref="A1:AP65"/>
  <sheetViews>
    <sheetView showGridLines="0" topLeftCell="A9" zoomScale="107" zoomScaleNormal="194" workbookViewId="0">
      <selection activeCell="AE65" sqref="AE65"/>
    </sheetView>
  </sheetViews>
  <sheetFormatPr baseColWidth="10" defaultColWidth="8.83203125" defaultRowHeight="15" x14ac:dyDescent="0.2"/>
  <cols>
    <col min="1" max="2" width="3.1640625" style="80" customWidth="1"/>
    <col min="3" max="5" width="5.83203125" style="80" bestFit="1" customWidth="1"/>
    <col min="6" max="10" width="3.1640625" style="80" customWidth="1"/>
    <col min="11" max="11" width="8.83203125" style="80" customWidth="1"/>
    <col min="12" max="12" width="11.1640625" style="80" customWidth="1"/>
    <col min="13" max="13" width="10.1640625" style="80" customWidth="1"/>
    <col min="14" max="25" width="3.1640625" style="80" customWidth="1"/>
    <col min="26" max="26" width="9.83203125" customWidth="1"/>
    <col min="27" max="27" width="10.5" style="80" bestFit="1" customWidth="1"/>
    <col min="28" max="28" width="14.5" style="80" customWidth="1"/>
    <col min="29" max="29" width="11.1640625" style="80" customWidth="1"/>
    <col min="30" max="30" width="14.6640625" style="80" customWidth="1"/>
    <col min="31" max="31" width="11.6640625" style="80" customWidth="1"/>
    <col min="32" max="32" width="5.5" bestFit="1" customWidth="1"/>
    <col min="33" max="33" width="11.1640625" bestFit="1" customWidth="1"/>
    <col min="34" max="35" width="9.1640625" bestFit="1" customWidth="1"/>
    <col min="36" max="38" width="3.1640625" customWidth="1"/>
    <col min="39" max="39" width="5.33203125" bestFit="1" customWidth="1"/>
    <col min="40" max="40" width="10.5" bestFit="1" customWidth="1"/>
    <col min="41" max="41" width="5.33203125" bestFit="1" customWidth="1"/>
    <col min="42" max="42" width="9.5" bestFit="1" customWidth="1"/>
    <col min="43" max="250" width="3.1640625" customWidth="1"/>
  </cols>
  <sheetData>
    <row r="1" spans="2:37" ht="16" thickBot="1" x14ac:dyDescent="0.25">
      <c r="B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2:37" x14ac:dyDescent="0.2">
      <c r="B2" s="7"/>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6"/>
    </row>
    <row r="3" spans="2:37" x14ac:dyDescent="0.2">
      <c r="B3" s="8"/>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9"/>
    </row>
    <row r="4" spans="2:37" x14ac:dyDescent="0.2">
      <c r="B4" s="8"/>
      <c r="C4" s="37">
        <v>0</v>
      </c>
      <c r="D4" s="37"/>
      <c r="E4" s="37">
        <f>C4+D6</f>
        <v>2</v>
      </c>
      <c r="F4" s="94"/>
      <c r="G4" s="94"/>
      <c r="H4" s="37">
        <f>E4</f>
        <v>2</v>
      </c>
      <c r="I4" s="37"/>
      <c r="J4" s="37">
        <f>H4+I6</f>
        <v>8</v>
      </c>
      <c r="K4" s="94"/>
      <c r="L4" s="37">
        <f>J4</f>
        <v>8</v>
      </c>
      <c r="M4" s="37"/>
      <c r="N4" s="37">
        <f>L4+M6</f>
        <v>12</v>
      </c>
      <c r="O4" s="94"/>
      <c r="P4" s="37">
        <f>N4</f>
        <v>12</v>
      </c>
      <c r="Q4" s="37"/>
      <c r="R4" s="37">
        <f>P4+Q6</f>
        <v>19</v>
      </c>
      <c r="S4" s="94"/>
      <c r="T4" s="94"/>
      <c r="U4" s="94"/>
      <c r="V4" s="94"/>
      <c r="W4" s="94"/>
      <c r="X4" s="94"/>
      <c r="Y4" s="94"/>
      <c r="Z4" s="94"/>
      <c r="AA4" s="94"/>
      <c r="AB4" s="94"/>
      <c r="AC4" s="94"/>
      <c r="AD4" s="94"/>
      <c r="AE4" s="94"/>
      <c r="AF4" s="94"/>
      <c r="AG4" s="94"/>
      <c r="AH4" s="94"/>
      <c r="AI4" s="94"/>
      <c r="AJ4" s="94"/>
      <c r="AK4" s="95"/>
    </row>
    <row r="5" spans="2:37" x14ac:dyDescent="0.2">
      <c r="B5" s="8"/>
      <c r="C5" s="37">
        <f>C6-C4</f>
        <v>0</v>
      </c>
      <c r="D5" s="119" t="s">
        <v>3</v>
      </c>
      <c r="E5" s="37">
        <f>E6-E4</f>
        <v>0</v>
      </c>
      <c r="F5" s="94"/>
      <c r="G5" s="94"/>
      <c r="H5" s="37">
        <f>H6-H4</f>
        <v>1</v>
      </c>
      <c r="I5" s="96" t="s">
        <v>5</v>
      </c>
      <c r="J5" s="37">
        <f>J6-J4</f>
        <v>1</v>
      </c>
      <c r="K5" s="94"/>
      <c r="L5" s="37">
        <f>L6-L4</f>
        <v>1</v>
      </c>
      <c r="M5" s="96" t="s">
        <v>9</v>
      </c>
      <c r="N5" s="37">
        <f>N6-N4</f>
        <v>1</v>
      </c>
      <c r="O5" s="94"/>
      <c r="P5" s="37">
        <f>P6-P4</f>
        <v>1</v>
      </c>
      <c r="Q5" s="96" t="s">
        <v>10</v>
      </c>
      <c r="R5" s="37">
        <f>R6-R4</f>
        <v>1</v>
      </c>
      <c r="S5" s="94"/>
      <c r="T5" s="94"/>
      <c r="U5" s="94"/>
      <c r="V5" s="94"/>
      <c r="W5" s="94"/>
      <c r="X5" s="94"/>
      <c r="Y5" s="94"/>
      <c r="Z5" s="94"/>
      <c r="AA5" s="94"/>
      <c r="AB5" s="94"/>
      <c r="AC5" s="94"/>
      <c r="AD5" s="94"/>
      <c r="AE5" s="94"/>
      <c r="AF5" s="37">
        <f>MAX(AD8,Z8)</f>
        <v>26</v>
      </c>
      <c r="AG5" s="37"/>
      <c r="AH5" s="37">
        <f>AF5+AG7</f>
        <v>27</v>
      </c>
      <c r="AI5" s="94"/>
      <c r="AJ5" s="94"/>
      <c r="AK5" s="95"/>
    </row>
    <row r="6" spans="2:37" x14ac:dyDescent="0.2">
      <c r="B6" s="8"/>
      <c r="C6" s="37">
        <f>E6-D6</f>
        <v>0</v>
      </c>
      <c r="D6" s="37">
        <v>2</v>
      </c>
      <c r="E6" s="37">
        <f>MIN(H6,H10,H14)</f>
        <v>2</v>
      </c>
      <c r="F6" s="94"/>
      <c r="G6" s="94"/>
      <c r="H6" s="37">
        <f>J6-I6</f>
        <v>3</v>
      </c>
      <c r="I6" s="37">
        <v>6</v>
      </c>
      <c r="J6" s="37">
        <f>MIN(T10,L6)</f>
        <v>9</v>
      </c>
      <c r="K6" s="94"/>
      <c r="L6" s="37">
        <f>N6-M6</f>
        <v>9</v>
      </c>
      <c r="M6" s="37">
        <v>4</v>
      </c>
      <c r="N6" s="37">
        <f>P6</f>
        <v>13</v>
      </c>
      <c r="O6" s="94"/>
      <c r="P6" s="37">
        <f>R6-Q6</f>
        <v>13</v>
      </c>
      <c r="Q6" s="37">
        <v>7</v>
      </c>
      <c r="R6" s="37">
        <f>AB10</f>
        <v>20</v>
      </c>
      <c r="S6" s="94"/>
      <c r="T6" s="94"/>
      <c r="U6" s="94"/>
      <c r="V6" s="94"/>
      <c r="W6" s="94"/>
      <c r="X6" s="94"/>
      <c r="Y6" s="94"/>
      <c r="Z6" s="94"/>
      <c r="AA6" s="94"/>
      <c r="AB6" s="94"/>
      <c r="AC6" s="94"/>
      <c r="AD6" s="94"/>
      <c r="AE6" s="94"/>
      <c r="AF6" s="37">
        <f>AF7-AF5</f>
        <v>0</v>
      </c>
      <c r="AG6" s="119" t="s">
        <v>144</v>
      </c>
      <c r="AH6" s="37">
        <f>AH7-AH5</f>
        <v>0</v>
      </c>
      <c r="AI6" s="94"/>
      <c r="AJ6" s="94"/>
      <c r="AK6" s="95"/>
    </row>
    <row r="7" spans="2:37" x14ac:dyDescent="0.2">
      <c r="B7" s="8"/>
      <c r="C7" s="94"/>
      <c r="D7" s="97"/>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37">
        <f>AH7-AG7</f>
        <v>26</v>
      </c>
      <c r="AG7" s="37">
        <v>1</v>
      </c>
      <c r="AH7" s="37">
        <f>AF13</f>
        <v>27</v>
      </c>
      <c r="AI7" s="94"/>
      <c r="AJ7" s="94"/>
      <c r="AK7" s="95"/>
    </row>
    <row r="8" spans="2:37" x14ac:dyDescent="0.2">
      <c r="B8" s="8"/>
      <c r="C8" s="94"/>
      <c r="D8" s="94"/>
      <c r="E8" s="94"/>
      <c r="F8" s="94"/>
      <c r="G8" s="94"/>
      <c r="H8" s="37">
        <f>E4</f>
        <v>2</v>
      </c>
      <c r="I8" s="37"/>
      <c r="J8" s="37">
        <f>H8+I10</f>
        <v>6</v>
      </c>
      <c r="K8" s="94"/>
      <c r="L8" s="94"/>
      <c r="M8" s="94"/>
      <c r="N8" s="94"/>
      <c r="O8" s="94"/>
      <c r="P8" s="37">
        <f>J8</f>
        <v>6</v>
      </c>
      <c r="Q8" s="37"/>
      <c r="R8" s="37">
        <f>P8+Q10</f>
        <v>11</v>
      </c>
      <c r="S8" s="94"/>
      <c r="T8" s="37">
        <f>MAX(R8,J4)</f>
        <v>11</v>
      </c>
      <c r="U8" s="37"/>
      <c r="V8" s="37">
        <f>T8+U10</f>
        <v>17</v>
      </c>
      <c r="W8" s="94"/>
      <c r="X8" s="37">
        <f>V8</f>
        <v>17</v>
      </c>
      <c r="Y8" s="37"/>
      <c r="Z8" s="37">
        <f>X8+Y10</f>
        <v>26</v>
      </c>
      <c r="AA8" s="94"/>
      <c r="AB8" s="37">
        <f>MAX(N12,R4,AD12)</f>
        <v>19</v>
      </c>
      <c r="AC8" s="37"/>
      <c r="AD8" s="37">
        <f>AB8+AC10</f>
        <v>25</v>
      </c>
      <c r="AE8" s="94"/>
      <c r="AF8" s="94"/>
      <c r="AG8" s="94"/>
      <c r="AH8" s="94"/>
      <c r="AI8" s="94"/>
      <c r="AJ8" s="94"/>
      <c r="AK8" s="95"/>
    </row>
    <row r="9" spans="2:37" x14ac:dyDescent="0.2">
      <c r="B9" s="8"/>
      <c r="C9" s="94"/>
      <c r="D9" s="94"/>
      <c r="E9" s="94"/>
      <c r="F9" s="94"/>
      <c r="G9" s="94"/>
      <c r="H9" s="37">
        <f>H10-H8</f>
        <v>0</v>
      </c>
      <c r="I9" s="96" t="s">
        <v>6</v>
      </c>
      <c r="J9" s="37">
        <f>J10-J8</f>
        <v>0</v>
      </c>
      <c r="K9" s="94"/>
      <c r="L9" s="94"/>
      <c r="M9" s="94"/>
      <c r="N9" s="94"/>
      <c r="O9" s="94"/>
      <c r="P9" s="37">
        <f>P10-P8</f>
        <v>0</v>
      </c>
      <c r="Q9" s="96" t="s">
        <v>11</v>
      </c>
      <c r="R9" s="37">
        <f>R10-R8</f>
        <v>0</v>
      </c>
      <c r="S9" s="94"/>
      <c r="T9" s="37">
        <f>T10-T8</f>
        <v>0</v>
      </c>
      <c r="U9" s="96" t="s">
        <v>12</v>
      </c>
      <c r="V9" s="37">
        <f>V10-V8</f>
        <v>0</v>
      </c>
      <c r="W9" s="94"/>
      <c r="X9" s="37">
        <f>X10-X8</f>
        <v>0</v>
      </c>
      <c r="Y9" s="96" t="s">
        <v>140</v>
      </c>
      <c r="Z9" s="37">
        <f>Z10-Z8</f>
        <v>0</v>
      </c>
      <c r="AA9" s="94"/>
      <c r="AB9" s="37">
        <f>AB10-AB8</f>
        <v>1</v>
      </c>
      <c r="AC9" s="119" t="s">
        <v>143</v>
      </c>
      <c r="AD9" s="37">
        <f>AD10-AD8</f>
        <v>1</v>
      </c>
      <c r="AE9" s="94"/>
      <c r="AF9" s="94"/>
      <c r="AG9" s="94"/>
      <c r="AH9" s="94"/>
      <c r="AI9" s="94"/>
      <c r="AJ9" s="94"/>
      <c r="AK9" s="95"/>
    </row>
    <row r="10" spans="2:37" x14ac:dyDescent="0.2">
      <c r="B10" s="8"/>
      <c r="C10" s="94"/>
      <c r="D10" s="94"/>
      <c r="E10" s="94"/>
      <c r="F10" s="94"/>
      <c r="G10" s="94"/>
      <c r="H10" s="37">
        <f>J10-I10</f>
        <v>2</v>
      </c>
      <c r="I10" s="37">
        <v>4</v>
      </c>
      <c r="J10" s="37">
        <f>P10</f>
        <v>6</v>
      </c>
      <c r="K10" s="94"/>
      <c r="L10" s="94"/>
      <c r="M10" s="94"/>
      <c r="N10" s="94"/>
      <c r="O10" s="94"/>
      <c r="P10" s="37">
        <f>R10-Q10</f>
        <v>6</v>
      </c>
      <c r="Q10" s="37">
        <v>5</v>
      </c>
      <c r="R10" s="37">
        <f>T10</f>
        <v>11</v>
      </c>
      <c r="S10" s="94"/>
      <c r="T10" s="37">
        <f>V10-U10</f>
        <v>11</v>
      </c>
      <c r="U10" s="37">
        <v>6</v>
      </c>
      <c r="V10" s="37">
        <f>X10</f>
        <v>17</v>
      </c>
      <c r="W10" s="94"/>
      <c r="X10" s="37">
        <f>Z10-Y10</f>
        <v>17</v>
      </c>
      <c r="Y10" s="37">
        <v>9</v>
      </c>
      <c r="Z10" s="37">
        <f>AF7</f>
        <v>26</v>
      </c>
      <c r="AA10" s="94"/>
      <c r="AB10" s="37">
        <f>AD10-AC10</f>
        <v>20</v>
      </c>
      <c r="AC10" s="37">
        <v>6</v>
      </c>
      <c r="AD10" s="37">
        <f>AF7</f>
        <v>26</v>
      </c>
      <c r="AE10" s="94"/>
      <c r="AF10" s="94"/>
      <c r="AG10" s="94"/>
      <c r="AH10" s="94"/>
      <c r="AI10" s="94"/>
      <c r="AJ10" s="94"/>
      <c r="AK10" s="95"/>
    </row>
    <row r="11" spans="2:37" x14ac:dyDescent="0.2">
      <c r="B11" s="8"/>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37">
        <f>AH5</f>
        <v>27</v>
      </c>
      <c r="AG11" s="37"/>
      <c r="AH11" s="37">
        <f>AF11+AG13</f>
        <v>31</v>
      </c>
      <c r="AI11" s="94"/>
      <c r="AJ11" s="94"/>
      <c r="AK11" s="95"/>
    </row>
    <row r="12" spans="2:37" x14ac:dyDescent="0.2">
      <c r="B12" s="8"/>
      <c r="C12" s="94"/>
      <c r="D12" s="94"/>
      <c r="E12" s="94"/>
      <c r="F12" s="94"/>
      <c r="G12" s="94"/>
      <c r="H12" s="37">
        <f>E4</f>
        <v>2</v>
      </c>
      <c r="I12" s="98"/>
      <c r="J12" s="37">
        <f>H12+I14</f>
        <v>7</v>
      </c>
      <c r="K12" s="94"/>
      <c r="L12" s="37">
        <f>J12</f>
        <v>7</v>
      </c>
      <c r="M12" s="37"/>
      <c r="N12" s="37">
        <f>L12+M14</f>
        <v>17</v>
      </c>
      <c r="O12" s="94"/>
      <c r="P12" s="94"/>
      <c r="Q12" s="94"/>
      <c r="R12" s="94"/>
      <c r="S12" s="94"/>
      <c r="T12" s="94"/>
      <c r="U12" s="94"/>
      <c r="V12" s="94"/>
      <c r="W12" s="94"/>
      <c r="X12" s="37">
        <f>J12</f>
        <v>7</v>
      </c>
      <c r="Y12" s="37"/>
      <c r="Z12" s="37">
        <f>X12+Y14</f>
        <v>14</v>
      </c>
      <c r="AA12" s="94"/>
      <c r="AB12" s="37">
        <f>Z12</f>
        <v>14</v>
      </c>
      <c r="AC12" s="37"/>
      <c r="AD12" s="37">
        <f>AB12+AC14</f>
        <v>19</v>
      </c>
      <c r="AE12" s="94"/>
      <c r="AF12" s="37">
        <f>AF13-AF11</f>
        <v>0</v>
      </c>
      <c r="AG12" s="119" t="s">
        <v>145</v>
      </c>
      <c r="AH12" s="37">
        <f>AH13-AH11</f>
        <v>0</v>
      </c>
      <c r="AI12" s="94"/>
      <c r="AJ12" s="94"/>
      <c r="AK12" s="95"/>
    </row>
    <row r="13" spans="2:37" x14ac:dyDescent="0.2">
      <c r="B13" s="8"/>
      <c r="C13" s="94"/>
      <c r="D13" s="94"/>
      <c r="E13" s="94"/>
      <c r="F13" s="94"/>
      <c r="G13" s="94"/>
      <c r="H13" s="37">
        <f>H14-H12</f>
        <v>1</v>
      </c>
      <c r="I13" s="119" t="s">
        <v>7</v>
      </c>
      <c r="J13" s="37">
        <f>J14-J12</f>
        <v>1</v>
      </c>
      <c r="K13" s="94"/>
      <c r="L13" s="37">
        <f>L14-L12</f>
        <v>3</v>
      </c>
      <c r="M13" s="96" t="s">
        <v>8</v>
      </c>
      <c r="N13" s="37">
        <f>N14-N12</f>
        <v>3</v>
      </c>
      <c r="O13" s="94"/>
      <c r="P13" s="94"/>
      <c r="Q13" s="94"/>
      <c r="R13" s="94"/>
      <c r="S13" s="94"/>
      <c r="T13" s="94"/>
      <c r="U13" s="94"/>
      <c r="V13" s="94"/>
      <c r="W13" s="94"/>
      <c r="X13" s="37">
        <f>X14-X12</f>
        <v>1</v>
      </c>
      <c r="Y13" s="119" t="s">
        <v>141</v>
      </c>
      <c r="Z13" s="37">
        <f>Z14-Z12</f>
        <v>1</v>
      </c>
      <c r="AA13" s="94"/>
      <c r="AB13" s="37">
        <f>AB14-AB12</f>
        <v>1</v>
      </c>
      <c r="AC13" s="119" t="s">
        <v>142</v>
      </c>
      <c r="AD13" s="37">
        <f>AD14-AD12</f>
        <v>1</v>
      </c>
      <c r="AE13" s="94"/>
      <c r="AF13" s="37">
        <f>AH13-AG13</f>
        <v>27</v>
      </c>
      <c r="AG13" s="37">
        <v>4</v>
      </c>
      <c r="AH13" s="37">
        <f>AH11</f>
        <v>31</v>
      </c>
      <c r="AI13" s="94"/>
      <c r="AJ13" s="94"/>
      <c r="AK13" s="95"/>
    </row>
    <row r="14" spans="2:37" x14ac:dyDescent="0.2">
      <c r="B14" s="8"/>
      <c r="C14" s="94"/>
      <c r="D14" s="94"/>
      <c r="E14" s="94"/>
      <c r="F14" s="94"/>
      <c r="G14" s="94"/>
      <c r="H14" s="37">
        <f>J14-I14</f>
        <v>3</v>
      </c>
      <c r="I14" s="37">
        <v>5</v>
      </c>
      <c r="J14" s="37">
        <f>MIN(X14,L14)</f>
        <v>8</v>
      </c>
      <c r="K14" s="94"/>
      <c r="L14" s="37">
        <f>N14-M14</f>
        <v>10</v>
      </c>
      <c r="M14" s="37">
        <v>10</v>
      </c>
      <c r="N14" s="37">
        <f>AB10</f>
        <v>20</v>
      </c>
      <c r="O14" s="94"/>
      <c r="P14" s="94"/>
      <c r="Q14" s="94"/>
      <c r="R14" s="94"/>
      <c r="S14" s="94"/>
      <c r="T14" s="94"/>
      <c r="U14" s="94"/>
      <c r="V14" s="94"/>
      <c r="W14" s="94"/>
      <c r="X14" s="37">
        <f>Z14-Y14</f>
        <v>8</v>
      </c>
      <c r="Y14" s="37">
        <v>7</v>
      </c>
      <c r="Z14" s="37">
        <f>AB14</f>
        <v>15</v>
      </c>
      <c r="AA14" s="94"/>
      <c r="AB14" s="37">
        <f>AD14-AC14</f>
        <v>15</v>
      </c>
      <c r="AC14" s="37">
        <v>5</v>
      </c>
      <c r="AD14" s="37">
        <f>AB10</f>
        <v>20</v>
      </c>
      <c r="AE14" s="94"/>
      <c r="AF14" s="94"/>
      <c r="AG14" s="94"/>
      <c r="AH14" s="94"/>
      <c r="AI14" s="94"/>
      <c r="AJ14" s="94"/>
      <c r="AK14" s="95"/>
    </row>
    <row r="15" spans="2:37" x14ac:dyDescent="0.2">
      <c r="B15" s="8"/>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5"/>
    </row>
    <row r="16" spans="2:37" ht="16" thickBot="1" x14ac:dyDescent="0.25">
      <c r="B16" s="10"/>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100"/>
      <c r="AJ16" s="100"/>
      <c r="AK16" s="101"/>
    </row>
    <row r="17" spans="2:37" x14ac:dyDescent="0.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2:37" x14ac:dyDescent="0.2">
      <c r="AA18"/>
      <c r="AB18"/>
      <c r="AC18"/>
      <c r="AD18"/>
      <c r="AE18"/>
    </row>
    <row r="19" spans="2:37" x14ac:dyDescent="0.2">
      <c r="AA19"/>
      <c r="AB19"/>
      <c r="AC19"/>
      <c r="AD19"/>
      <c r="AE19"/>
    </row>
    <row r="20" spans="2:37" x14ac:dyDescent="0.2">
      <c r="Z20" s="151"/>
      <c r="AA20" s="151"/>
      <c r="AB20" s="151"/>
      <c r="AC20" s="151"/>
      <c r="AD20" s="151"/>
      <c r="AE20" s="151"/>
      <c r="AF20" s="151"/>
      <c r="AG20" s="151"/>
      <c r="AH20" s="151"/>
      <c r="AI20" s="151"/>
    </row>
    <row r="21" spans="2:37" x14ac:dyDescent="0.2">
      <c r="Z21" s="152" t="s">
        <v>122</v>
      </c>
      <c r="AA21" s="153"/>
      <c r="AB21" s="105">
        <v>90000</v>
      </c>
      <c r="AC21" s="106" t="s">
        <v>123</v>
      </c>
      <c r="AD21" s="105">
        <v>4200</v>
      </c>
      <c r="AE21" s="154" t="s">
        <v>124</v>
      </c>
      <c r="AF21" s="154"/>
      <c r="AG21" s="154"/>
      <c r="AH21" s="154"/>
      <c r="AI21" s="155"/>
      <c r="AJ21" s="81"/>
      <c r="AK21" s="81"/>
    </row>
    <row r="22" spans="2:37" x14ac:dyDescent="0.2">
      <c r="Z22" s="156" t="s">
        <v>98</v>
      </c>
      <c r="AA22" s="156" t="s">
        <v>99</v>
      </c>
      <c r="AB22" s="144" t="s">
        <v>100</v>
      </c>
      <c r="AC22" s="145"/>
      <c r="AD22" s="145"/>
      <c r="AE22" s="146"/>
      <c r="AF22" s="143" t="s">
        <v>101</v>
      </c>
      <c r="AG22" s="143"/>
      <c r="AH22" s="143"/>
      <c r="AI22" s="143"/>
    </row>
    <row r="23" spans="2:37" x14ac:dyDescent="0.2">
      <c r="Z23" s="156"/>
      <c r="AA23" s="156"/>
      <c r="AB23" s="121"/>
      <c r="AC23" s="121"/>
      <c r="AD23" s="121"/>
      <c r="AE23" s="121"/>
      <c r="AF23" s="143" t="s">
        <v>102</v>
      </c>
      <c r="AG23" s="143"/>
      <c r="AH23" s="143" t="s">
        <v>103</v>
      </c>
      <c r="AI23" s="143"/>
    </row>
    <row r="24" spans="2:37" x14ac:dyDescent="0.2">
      <c r="Z24" s="156"/>
      <c r="AA24" s="156"/>
      <c r="AB24" s="121"/>
      <c r="AC24" s="121"/>
      <c r="AD24" s="121"/>
      <c r="AE24" s="121"/>
      <c r="AF24" s="50" t="s">
        <v>104</v>
      </c>
      <c r="AG24" s="50" t="s">
        <v>105</v>
      </c>
      <c r="AH24" s="50" t="s">
        <v>104</v>
      </c>
      <c r="AI24" s="50" t="s">
        <v>105</v>
      </c>
    </row>
    <row r="25" spans="2:37" x14ac:dyDescent="0.2">
      <c r="Z25" s="50" t="s">
        <v>3</v>
      </c>
      <c r="AA25" s="120" t="s">
        <v>4</v>
      </c>
      <c r="AB25" s="102">
        <v>0</v>
      </c>
      <c r="AC25" s="19"/>
      <c r="AD25" s="19"/>
      <c r="AE25" s="19"/>
      <c r="AF25" s="103">
        <f>'Scenario 1'!J4</f>
        <v>2</v>
      </c>
      <c r="AG25" s="82">
        <v>3000</v>
      </c>
      <c r="AH25" s="19">
        <v>0</v>
      </c>
      <c r="AI25" s="82">
        <v>0</v>
      </c>
    </row>
    <row r="26" spans="2:37" x14ac:dyDescent="0.2">
      <c r="Z26" s="50" t="s">
        <v>5</v>
      </c>
      <c r="AA26" s="122">
        <v>4000</v>
      </c>
      <c r="AB26" s="102">
        <v>2</v>
      </c>
      <c r="AC26" s="19"/>
      <c r="AD26" s="19"/>
      <c r="AE26" s="19"/>
      <c r="AF26" s="103">
        <f>'Scenario 1'!J5</f>
        <v>6</v>
      </c>
      <c r="AG26" s="82">
        <v>8000</v>
      </c>
      <c r="AH26" s="19">
        <v>2</v>
      </c>
      <c r="AI26" s="82">
        <v>4000</v>
      </c>
    </row>
    <row r="27" spans="2:37" ht="21" x14ac:dyDescent="0.25">
      <c r="R27" s="160"/>
      <c r="S27" s="160"/>
      <c r="T27" s="160"/>
      <c r="U27" s="160"/>
      <c r="V27" s="160"/>
      <c r="Z27" s="50" t="s">
        <v>6</v>
      </c>
      <c r="AA27" s="122">
        <v>5000</v>
      </c>
      <c r="AB27" s="102">
        <v>2</v>
      </c>
      <c r="AC27" s="19">
        <v>1</v>
      </c>
      <c r="AD27" s="19">
        <v>0</v>
      </c>
      <c r="AE27" s="19"/>
      <c r="AF27" s="103">
        <f>'Scenario 1'!J6</f>
        <v>6</v>
      </c>
      <c r="AG27" s="82">
        <v>10000</v>
      </c>
      <c r="AH27" s="19">
        <v>2</v>
      </c>
      <c r="AI27" s="82">
        <v>5000</v>
      </c>
    </row>
    <row r="28" spans="2:37" ht="21" x14ac:dyDescent="0.25">
      <c r="R28" s="159"/>
      <c r="S28" s="159"/>
      <c r="T28" s="159"/>
      <c r="U28" s="159"/>
      <c r="V28" s="159"/>
      <c r="Z28" s="50" t="s">
        <v>7</v>
      </c>
      <c r="AA28" s="122">
        <v>6000</v>
      </c>
      <c r="AB28" s="102">
        <v>3</v>
      </c>
      <c r="AC28" s="19">
        <v>2</v>
      </c>
      <c r="AD28" s="19">
        <v>1</v>
      </c>
      <c r="AE28" s="19">
        <v>0</v>
      </c>
      <c r="AF28" s="103">
        <f>'Scenario 1'!J7</f>
        <v>8</v>
      </c>
      <c r="AG28" s="82">
        <v>18000</v>
      </c>
      <c r="AH28" s="19">
        <v>3</v>
      </c>
      <c r="AI28" s="82">
        <v>6000</v>
      </c>
    </row>
    <row r="29" spans="2:37" ht="21" x14ac:dyDescent="0.25">
      <c r="R29" s="158"/>
      <c r="S29" s="158"/>
      <c r="T29" s="158"/>
      <c r="U29" s="158"/>
      <c r="V29" s="158"/>
      <c r="Z29" s="50" t="s">
        <v>8</v>
      </c>
      <c r="AA29" s="122">
        <v>7000</v>
      </c>
      <c r="AB29" s="102">
        <v>3</v>
      </c>
      <c r="AC29" s="19"/>
      <c r="AD29" s="19"/>
      <c r="AE29" s="19"/>
      <c r="AF29" s="103">
        <f>'Scenario 1'!J8</f>
        <v>10</v>
      </c>
      <c r="AG29" s="82">
        <v>22000</v>
      </c>
      <c r="AH29" s="19">
        <v>3</v>
      </c>
      <c r="AI29" s="82">
        <v>7000</v>
      </c>
    </row>
    <row r="30" spans="2:37" ht="21" x14ac:dyDescent="0.25">
      <c r="R30" s="157"/>
      <c r="S30" s="157"/>
      <c r="T30" s="157"/>
      <c r="U30" s="157"/>
      <c r="V30" s="157"/>
      <c r="Z30" s="50" t="s">
        <v>9</v>
      </c>
      <c r="AA30" s="122">
        <v>3000</v>
      </c>
      <c r="AB30" s="102">
        <v>1</v>
      </c>
      <c r="AC30" s="19">
        <v>0</v>
      </c>
      <c r="AD30" s="19"/>
      <c r="AE30" s="19"/>
      <c r="AF30" s="103">
        <f>'Scenario 1'!J9</f>
        <v>5</v>
      </c>
      <c r="AG30" s="82">
        <v>6000</v>
      </c>
      <c r="AH30" s="19">
        <v>1</v>
      </c>
      <c r="AI30" s="82">
        <v>3000</v>
      </c>
    </row>
    <row r="31" spans="2:37" ht="21" x14ac:dyDescent="0.25">
      <c r="R31" s="147"/>
      <c r="S31" s="147"/>
      <c r="T31" s="147"/>
      <c r="U31" s="147"/>
      <c r="V31" s="147"/>
      <c r="Z31" s="50" t="s">
        <v>10</v>
      </c>
      <c r="AA31" s="122">
        <v>4000</v>
      </c>
      <c r="AB31" s="102">
        <v>3</v>
      </c>
      <c r="AC31" s="19">
        <v>2</v>
      </c>
      <c r="AD31" s="19">
        <v>1</v>
      </c>
      <c r="AE31" s="19"/>
      <c r="AF31" s="103">
        <f>'Scenario 1'!J10</f>
        <v>9</v>
      </c>
      <c r="AG31" s="82">
        <v>12000</v>
      </c>
      <c r="AH31" s="19">
        <v>3</v>
      </c>
      <c r="AI31" s="82">
        <v>4000</v>
      </c>
    </row>
    <row r="32" spans="2:37" x14ac:dyDescent="0.2">
      <c r="Z32" s="50" t="s">
        <v>11</v>
      </c>
      <c r="AA32" s="122">
        <v>6000</v>
      </c>
      <c r="AB32" s="102">
        <v>2</v>
      </c>
      <c r="AC32" s="19">
        <v>1</v>
      </c>
      <c r="AD32" s="19">
        <v>0</v>
      </c>
      <c r="AE32" s="19"/>
      <c r="AF32" s="103">
        <f>'Scenario 1'!J11</f>
        <v>7</v>
      </c>
      <c r="AG32" s="82">
        <v>14000</v>
      </c>
      <c r="AH32" s="19">
        <v>2</v>
      </c>
      <c r="AI32" s="82">
        <v>6000</v>
      </c>
    </row>
    <row r="33" spans="2:42" x14ac:dyDescent="0.2">
      <c r="Z33" s="50" t="s">
        <v>12</v>
      </c>
      <c r="AA33" s="122">
        <v>4000</v>
      </c>
      <c r="AB33" s="102">
        <v>1</v>
      </c>
      <c r="AC33" s="19">
        <v>0</v>
      </c>
      <c r="AD33" s="19"/>
      <c r="AE33" s="19"/>
      <c r="AF33" s="103">
        <f>'Scenario 1'!J12</f>
        <v>7</v>
      </c>
      <c r="AG33" s="82">
        <v>9000</v>
      </c>
      <c r="AH33" s="19">
        <v>1</v>
      </c>
      <c r="AI33" s="82">
        <v>4000</v>
      </c>
    </row>
    <row r="34" spans="2:42" x14ac:dyDescent="0.2">
      <c r="Z34" s="50" t="s">
        <v>140</v>
      </c>
      <c r="AA34" s="122">
        <v>5000</v>
      </c>
      <c r="AB34" s="102">
        <v>3</v>
      </c>
      <c r="AC34" s="19">
        <v>2</v>
      </c>
      <c r="AD34" s="19">
        <v>1</v>
      </c>
      <c r="AE34" s="19">
        <v>0</v>
      </c>
      <c r="AF34" s="103">
        <f>'Scenario 1'!J13</f>
        <v>12</v>
      </c>
      <c r="AG34" s="82">
        <v>15000</v>
      </c>
      <c r="AH34" s="19">
        <v>3</v>
      </c>
      <c r="AI34" s="82">
        <v>5000</v>
      </c>
    </row>
    <row r="35" spans="2:42" x14ac:dyDescent="0.2">
      <c r="Z35" s="50" t="s">
        <v>141</v>
      </c>
      <c r="AA35" s="122">
        <v>4000</v>
      </c>
      <c r="AB35" s="102">
        <v>2</v>
      </c>
      <c r="AC35" s="19">
        <v>1</v>
      </c>
      <c r="AD35" s="19">
        <v>0</v>
      </c>
      <c r="AE35" s="19"/>
      <c r="AF35" s="103">
        <f>'Scenario 1'!J14</f>
        <v>9</v>
      </c>
      <c r="AG35" s="82">
        <v>11000</v>
      </c>
      <c r="AH35" s="19">
        <v>2</v>
      </c>
      <c r="AI35" s="82">
        <v>4000</v>
      </c>
    </row>
    <row r="36" spans="2:42" x14ac:dyDescent="0.2">
      <c r="Z36" s="50" t="s">
        <v>142</v>
      </c>
      <c r="AA36" s="122">
        <v>3500</v>
      </c>
      <c r="AB36" s="102">
        <v>2</v>
      </c>
      <c r="AC36" s="19">
        <v>1</v>
      </c>
      <c r="AD36" s="19">
        <v>0</v>
      </c>
      <c r="AE36" s="19"/>
      <c r="AF36" s="103">
        <f>'Scenario 1'!J15</f>
        <v>7</v>
      </c>
      <c r="AG36" s="82">
        <v>8000</v>
      </c>
      <c r="AH36" s="19">
        <v>2</v>
      </c>
      <c r="AI36" s="82">
        <v>3500</v>
      </c>
    </row>
    <row r="37" spans="2:42" x14ac:dyDescent="0.2">
      <c r="Z37" s="50" t="s">
        <v>143</v>
      </c>
      <c r="AA37" s="122">
        <v>6000</v>
      </c>
      <c r="AB37" s="102">
        <v>3</v>
      </c>
      <c r="AC37" s="19">
        <v>2</v>
      </c>
      <c r="AD37" s="19">
        <v>1</v>
      </c>
      <c r="AE37" s="19">
        <v>0</v>
      </c>
      <c r="AF37" s="103">
        <f>'Scenario 1'!J16</f>
        <v>9</v>
      </c>
      <c r="AG37" s="82">
        <v>20000</v>
      </c>
      <c r="AH37" s="19">
        <v>3</v>
      </c>
      <c r="AI37" s="82">
        <v>6000</v>
      </c>
    </row>
    <row r="38" spans="2:42" x14ac:dyDescent="0.2">
      <c r="Z38" s="50" t="s">
        <v>144</v>
      </c>
      <c r="AA38" s="122" t="s">
        <v>4</v>
      </c>
      <c r="AB38" s="102">
        <v>0</v>
      </c>
      <c r="AC38" s="19"/>
      <c r="AD38" s="19"/>
      <c r="AE38" s="19"/>
      <c r="AF38" s="103">
        <f>'Scenario 1'!J17</f>
        <v>1</v>
      </c>
      <c r="AG38" s="82">
        <v>30000</v>
      </c>
      <c r="AH38" s="19">
        <v>0</v>
      </c>
      <c r="AI38" s="82">
        <v>0</v>
      </c>
    </row>
    <row r="39" spans="2:42" x14ac:dyDescent="0.2">
      <c r="Z39" s="50" t="s">
        <v>145</v>
      </c>
      <c r="AA39" s="122">
        <v>2000</v>
      </c>
      <c r="AB39" s="102">
        <v>1</v>
      </c>
      <c r="AC39" s="19">
        <v>0</v>
      </c>
      <c r="AD39" s="19"/>
      <c r="AE39" s="19"/>
      <c r="AF39" s="103">
        <f>'Scenario 1'!J18</f>
        <v>5</v>
      </c>
      <c r="AG39" s="82">
        <v>6000</v>
      </c>
      <c r="AH39" s="19">
        <v>1</v>
      </c>
      <c r="AI39" s="82">
        <v>2000</v>
      </c>
    </row>
    <row r="40" spans="2:42" x14ac:dyDescent="0.2">
      <c r="Z40" s="80"/>
      <c r="AA40"/>
      <c r="AB40"/>
      <c r="AC40"/>
      <c r="AD40"/>
      <c r="AE40"/>
      <c r="AF40" s="80"/>
      <c r="AG40" s="83"/>
      <c r="AH40" s="80"/>
      <c r="AI40" s="83"/>
      <c r="AN40" s="107"/>
      <c r="AP40" s="107"/>
    </row>
    <row r="41" spans="2:42" x14ac:dyDescent="0.2">
      <c r="AA41"/>
      <c r="AB41"/>
      <c r="AC41"/>
      <c r="AD41"/>
      <c r="AE41"/>
    </row>
    <row r="42" spans="2:42" ht="15" customHeight="1" x14ac:dyDescent="0.2">
      <c r="E42"/>
      <c r="F42"/>
      <c r="G42" s="169" t="s">
        <v>106</v>
      </c>
      <c r="H42" s="170"/>
      <c r="I42" s="170"/>
      <c r="J42" s="170"/>
      <c r="K42" s="170"/>
      <c r="L42" s="170"/>
      <c r="M42" s="170"/>
      <c r="N42" s="170"/>
      <c r="O42" s="170"/>
      <c r="P42" s="170"/>
      <c r="Q42" s="170"/>
      <c r="R42" s="170"/>
      <c r="S42" s="170"/>
      <c r="T42" s="170"/>
      <c r="U42" s="170"/>
      <c r="V42" s="171"/>
      <c r="AA42"/>
      <c r="AB42"/>
      <c r="AC42"/>
      <c r="AD42"/>
      <c r="AE42"/>
    </row>
    <row r="43" spans="2:42" ht="15" customHeight="1" x14ac:dyDescent="0.2">
      <c r="E43"/>
      <c r="F43"/>
      <c r="G43" s="172"/>
      <c r="H43" s="173"/>
      <c r="I43" s="173"/>
      <c r="J43" s="173"/>
      <c r="K43" s="173"/>
      <c r="L43" s="173"/>
      <c r="M43" s="173"/>
      <c r="N43" s="173"/>
      <c r="O43" s="173"/>
      <c r="P43" s="173"/>
      <c r="Q43" s="173"/>
      <c r="R43" s="173"/>
      <c r="S43" s="173"/>
      <c r="T43" s="173"/>
      <c r="U43" s="173"/>
      <c r="V43" s="174"/>
      <c r="AA43"/>
      <c r="AB43"/>
      <c r="AC43"/>
      <c r="AD43"/>
      <c r="AE43"/>
    </row>
    <row r="44" spans="2:42" ht="21" customHeight="1" x14ac:dyDescent="0.2">
      <c r="B44" s="137" t="s">
        <v>113</v>
      </c>
      <c r="C44" s="138"/>
      <c r="D44" s="138"/>
      <c r="E44" s="138"/>
      <c r="F44" s="139"/>
      <c r="G44" s="137" t="s">
        <v>114</v>
      </c>
      <c r="H44" s="139"/>
      <c r="I44" s="137" t="s">
        <v>115</v>
      </c>
      <c r="J44" s="139"/>
      <c r="K44" s="137" t="s">
        <v>116</v>
      </c>
      <c r="L44" s="139"/>
      <c r="M44" s="137" t="s">
        <v>117</v>
      </c>
      <c r="N44" s="139"/>
      <c r="O44" s="137" t="s">
        <v>118</v>
      </c>
      <c r="P44" s="139"/>
      <c r="Q44" s="137" t="s">
        <v>119</v>
      </c>
      <c r="R44" s="139"/>
      <c r="S44" s="137" t="s">
        <v>120</v>
      </c>
      <c r="T44" s="139"/>
      <c r="U44" s="137" t="s">
        <v>121</v>
      </c>
      <c r="V44" s="139"/>
      <c r="W44" s="137" t="s">
        <v>151</v>
      </c>
      <c r="X44" s="139"/>
      <c r="Y44" s="137" t="s">
        <v>152</v>
      </c>
      <c r="Z44" s="139"/>
      <c r="AA44" s="137" t="s">
        <v>153</v>
      </c>
      <c r="AB44" s="139"/>
      <c r="AC44"/>
      <c r="AD44"/>
      <c r="AE44"/>
    </row>
    <row r="45" spans="2:42" ht="21" x14ac:dyDescent="0.25">
      <c r="B45" s="148" t="s">
        <v>146</v>
      </c>
      <c r="C45" s="149"/>
      <c r="D45" s="149"/>
      <c r="E45" s="149"/>
      <c r="F45" s="150"/>
      <c r="G45" s="135">
        <v>37</v>
      </c>
      <c r="H45" s="136"/>
      <c r="I45" s="135">
        <v>37</v>
      </c>
      <c r="J45" s="136"/>
      <c r="K45" s="135">
        <v>37</v>
      </c>
      <c r="L45" s="136"/>
      <c r="M45" s="135">
        <v>37</v>
      </c>
      <c r="N45" s="136"/>
      <c r="O45" s="135">
        <v>37</v>
      </c>
      <c r="P45" s="136"/>
      <c r="Q45" s="135">
        <v>35</v>
      </c>
      <c r="R45" s="136"/>
      <c r="S45" s="135">
        <v>34</v>
      </c>
      <c r="T45" s="136"/>
      <c r="U45" s="135">
        <v>33</v>
      </c>
      <c r="V45" s="136"/>
      <c r="W45" s="135">
        <v>33</v>
      </c>
      <c r="X45" s="136"/>
      <c r="Y45" s="135">
        <v>32</v>
      </c>
      <c r="Z45" s="136"/>
      <c r="AA45" s="135">
        <f>$D$6+$I$6+$M$6+$Q$6+$AC$10+$AG$7+$AG$13</f>
        <v>30</v>
      </c>
      <c r="AB45" s="136"/>
      <c r="AC45"/>
      <c r="AD45"/>
      <c r="AE45"/>
    </row>
    <row r="46" spans="2:42" ht="21" x14ac:dyDescent="0.25">
      <c r="B46" s="140" t="s">
        <v>147</v>
      </c>
      <c r="C46" s="141"/>
      <c r="D46" s="141"/>
      <c r="E46" s="141"/>
      <c r="F46" s="142"/>
      <c r="G46" s="135">
        <v>33</v>
      </c>
      <c r="H46" s="136"/>
      <c r="I46" s="135">
        <v>33</v>
      </c>
      <c r="J46" s="136"/>
      <c r="K46" s="135">
        <v>32</v>
      </c>
      <c r="L46" s="136"/>
      <c r="M46" s="135">
        <v>31</v>
      </c>
      <c r="N46" s="136"/>
      <c r="O46" s="135">
        <v>30</v>
      </c>
      <c r="P46" s="136"/>
      <c r="Q46" s="135">
        <v>29</v>
      </c>
      <c r="R46" s="136"/>
      <c r="S46" s="135">
        <v>29</v>
      </c>
      <c r="T46" s="136"/>
      <c r="U46" s="135">
        <v>29</v>
      </c>
      <c r="V46" s="136"/>
      <c r="W46" s="135">
        <v>29</v>
      </c>
      <c r="X46" s="136"/>
      <c r="Y46" s="135">
        <v>29</v>
      </c>
      <c r="Z46" s="136"/>
      <c r="AA46" s="135">
        <f>$D$6+$I$6+$U$10+$Y$10+$AG$7+$AG$13</f>
        <v>28</v>
      </c>
      <c r="AB46" s="136"/>
      <c r="AC46"/>
      <c r="AD46"/>
      <c r="AE46"/>
    </row>
    <row r="47" spans="2:42" ht="21" x14ac:dyDescent="0.25">
      <c r="B47" s="164" t="s">
        <v>148</v>
      </c>
      <c r="C47" s="165"/>
      <c r="D47" s="165"/>
      <c r="E47" s="165"/>
      <c r="F47" s="166"/>
      <c r="G47" s="167">
        <v>40</v>
      </c>
      <c r="H47" s="168"/>
      <c r="I47" s="167">
        <v>40</v>
      </c>
      <c r="J47" s="168"/>
      <c r="K47" s="167">
        <v>39</v>
      </c>
      <c r="L47" s="168"/>
      <c r="M47" s="167">
        <v>38</v>
      </c>
      <c r="N47" s="168"/>
      <c r="O47" s="167">
        <v>37</v>
      </c>
      <c r="P47" s="168"/>
      <c r="Q47" s="167">
        <v>36</v>
      </c>
      <c r="R47" s="168"/>
      <c r="S47" s="167">
        <v>35</v>
      </c>
      <c r="T47" s="168"/>
      <c r="U47" s="167">
        <v>34</v>
      </c>
      <c r="V47" s="168"/>
      <c r="W47" s="167">
        <v>33</v>
      </c>
      <c r="X47" s="168"/>
      <c r="Y47" s="167">
        <v>32</v>
      </c>
      <c r="Z47" s="168"/>
      <c r="AA47" s="167">
        <f>$D$6+$I$10+$Q$10+$U$10+$Y$10+$AG$7+$AG$13</f>
        <v>31</v>
      </c>
      <c r="AB47" s="168"/>
      <c r="AC47"/>
      <c r="AD47"/>
      <c r="AE47"/>
    </row>
    <row r="48" spans="2:42" ht="21" x14ac:dyDescent="0.25">
      <c r="B48" s="161" t="s">
        <v>149</v>
      </c>
      <c r="C48" s="162"/>
      <c r="D48" s="162"/>
      <c r="E48" s="162"/>
      <c r="F48" s="163"/>
      <c r="G48" s="135">
        <v>35</v>
      </c>
      <c r="H48" s="136"/>
      <c r="I48" s="135">
        <v>35</v>
      </c>
      <c r="J48" s="136"/>
      <c r="K48" s="135">
        <v>35</v>
      </c>
      <c r="L48" s="136"/>
      <c r="M48" s="135">
        <v>35</v>
      </c>
      <c r="N48" s="136"/>
      <c r="O48" s="135">
        <v>35</v>
      </c>
      <c r="P48" s="136"/>
      <c r="Q48" s="135">
        <v>34</v>
      </c>
      <c r="R48" s="136"/>
      <c r="S48" s="135">
        <v>33</v>
      </c>
      <c r="T48" s="136"/>
      <c r="U48" s="135">
        <v>32</v>
      </c>
      <c r="V48" s="136"/>
      <c r="W48" s="135">
        <v>31</v>
      </c>
      <c r="X48" s="136"/>
      <c r="Y48" s="135">
        <v>30</v>
      </c>
      <c r="Z48" s="136"/>
      <c r="AA48" s="135">
        <f>$D$6+$I$14+$M$14+$AC$10+$AG$7+$AG$13</f>
        <v>28</v>
      </c>
      <c r="AB48" s="136"/>
      <c r="AC48"/>
      <c r="AD48"/>
      <c r="AE48"/>
    </row>
    <row r="49" spans="2:31" ht="21" x14ac:dyDescent="0.25">
      <c r="B49" s="132" t="s">
        <v>150</v>
      </c>
      <c r="C49" s="133"/>
      <c r="D49" s="133"/>
      <c r="E49" s="133"/>
      <c r="F49" s="134"/>
      <c r="G49" s="135">
        <v>41</v>
      </c>
      <c r="H49" s="136"/>
      <c r="I49" s="135">
        <v>40</v>
      </c>
      <c r="J49" s="136"/>
      <c r="K49" s="135">
        <v>39</v>
      </c>
      <c r="L49" s="136"/>
      <c r="M49" s="135">
        <v>38</v>
      </c>
      <c r="N49" s="136"/>
      <c r="O49" s="135">
        <v>37</v>
      </c>
      <c r="P49" s="136"/>
      <c r="Q49" s="135">
        <v>36</v>
      </c>
      <c r="R49" s="136"/>
      <c r="S49" s="135">
        <v>35</v>
      </c>
      <c r="T49" s="136"/>
      <c r="U49" s="135">
        <v>34</v>
      </c>
      <c r="V49" s="136"/>
      <c r="W49" s="135">
        <v>33</v>
      </c>
      <c r="X49" s="136"/>
      <c r="Y49" s="135">
        <v>32</v>
      </c>
      <c r="Z49" s="136"/>
      <c r="AA49" s="135">
        <f>$D$6+$I$14+$Y$14+$AC$14+$AC$10+$AG$7+$AG$13</f>
        <v>30</v>
      </c>
      <c r="AB49" s="136"/>
      <c r="AC49"/>
      <c r="AD49"/>
      <c r="AE49"/>
    </row>
    <row r="50" spans="2:31" x14ac:dyDescent="0.2">
      <c r="AA50"/>
      <c r="AB50"/>
      <c r="AC50"/>
      <c r="AD50"/>
      <c r="AE50"/>
    </row>
    <row r="51" spans="2:31" x14ac:dyDescent="0.2">
      <c r="AA51"/>
      <c r="AB51"/>
      <c r="AC51"/>
      <c r="AD51"/>
      <c r="AE51"/>
    </row>
    <row r="52" spans="2:31" x14ac:dyDescent="0.2">
      <c r="AA52"/>
      <c r="AB52"/>
      <c r="AC52"/>
      <c r="AD52"/>
      <c r="AE52"/>
    </row>
    <row r="53" spans="2:31" x14ac:dyDescent="0.2">
      <c r="AA53"/>
      <c r="AB53"/>
      <c r="AC53"/>
      <c r="AD53"/>
      <c r="AE53"/>
    </row>
    <row r="54" spans="2:31" ht="14.5" customHeight="1" x14ac:dyDescent="0.2">
      <c r="Z54" s="108" t="s">
        <v>107</v>
      </c>
      <c r="AA54" s="108" t="s">
        <v>108</v>
      </c>
      <c r="AB54" s="108" t="s">
        <v>109</v>
      </c>
      <c r="AC54" s="108" t="s">
        <v>110</v>
      </c>
      <c r="AD54" s="108" t="s">
        <v>111</v>
      </c>
      <c r="AE54" s="108" t="s">
        <v>112</v>
      </c>
    </row>
    <row r="55" spans="2:31" ht="14.5" customHeight="1" x14ac:dyDescent="0.2">
      <c r="Y55" s="80" t="s">
        <v>114</v>
      </c>
      <c r="Z55" s="19">
        <v>41</v>
      </c>
      <c r="AA55" s="109" t="s">
        <v>4</v>
      </c>
      <c r="AB55" s="109" t="s">
        <v>4</v>
      </c>
      <c r="AC55" s="110">
        <f>SUM(AG25:AG39)</f>
        <v>192000</v>
      </c>
      <c r="AD55" s="111">
        <f>AB21</f>
        <v>90000</v>
      </c>
      <c r="AE55" s="110">
        <f t="shared" ref="AE55:AE65" si="0">AC55+AD55</f>
        <v>282000</v>
      </c>
    </row>
    <row r="56" spans="2:31" x14ac:dyDescent="0.2">
      <c r="Y56" s="80" t="s">
        <v>115</v>
      </c>
      <c r="Z56" s="113">
        <v>40</v>
      </c>
      <c r="AA56" s="114" t="s">
        <v>142</v>
      </c>
      <c r="AB56" s="115">
        <f>AA36</f>
        <v>3500</v>
      </c>
      <c r="AC56" s="116">
        <f t="shared" ref="AC56:AC65" si="1">AC55+AB56</f>
        <v>195500</v>
      </c>
      <c r="AD56" s="117">
        <f>AD55-$AD$21</f>
        <v>85800</v>
      </c>
      <c r="AE56" s="116">
        <f>AC56+AD56</f>
        <v>281300</v>
      </c>
    </row>
    <row r="57" spans="2:31" x14ac:dyDescent="0.2">
      <c r="Y57" s="80" t="s">
        <v>116</v>
      </c>
      <c r="Z57" s="19">
        <v>39</v>
      </c>
      <c r="AA57" s="50" t="s">
        <v>158</v>
      </c>
      <c r="AB57" s="112">
        <f>AA33+AA36</f>
        <v>7500</v>
      </c>
      <c r="AC57" s="110">
        <f t="shared" si="1"/>
        <v>203000</v>
      </c>
      <c r="AD57" s="111">
        <f t="shared" ref="AD57:AD65" si="2">AD56-$AD$21</f>
        <v>81600</v>
      </c>
      <c r="AE57" s="110">
        <f t="shared" si="0"/>
        <v>284600</v>
      </c>
    </row>
    <row r="58" spans="2:31" x14ac:dyDescent="0.2">
      <c r="Y58" s="80" t="s">
        <v>117</v>
      </c>
      <c r="Z58" s="19">
        <v>38</v>
      </c>
      <c r="AA58" s="50" t="s">
        <v>159</v>
      </c>
      <c r="AB58" s="112">
        <f>AA34+AA35</f>
        <v>9000</v>
      </c>
      <c r="AC58" s="110">
        <f t="shared" si="1"/>
        <v>212000</v>
      </c>
      <c r="AD58" s="111">
        <f t="shared" si="2"/>
        <v>77400</v>
      </c>
      <c r="AE58" s="110">
        <f t="shared" si="0"/>
        <v>289400</v>
      </c>
    </row>
    <row r="59" spans="2:31" x14ac:dyDescent="0.2">
      <c r="Y59" s="80" t="s">
        <v>118</v>
      </c>
      <c r="Z59" s="19">
        <v>37</v>
      </c>
      <c r="AA59" s="50" t="s">
        <v>159</v>
      </c>
      <c r="AB59" s="112">
        <f>AA34+AA35</f>
        <v>9000</v>
      </c>
      <c r="AC59" s="110">
        <f t="shared" si="1"/>
        <v>221000</v>
      </c>
      <c r="AD59" s="111">
        <f t="shared" si="2"/>
        <v>73200</v>
      </c>
      <c r="AE59" s="110">
        <f t="shared" si="0"/>
        <v>294200</v>
      </c>
    </row>
    <row r="60" spans="2:31" x14ac:dyDescent="0.2">
      <c r="Y60" s="80" t="s">
        <v>119</v>
      </c>
      <c r="Z60" s="19">
        <v>36</v>
      </c>
      <c r="AA60" s="50" t="s">
        <v>160</v>
      </c>
      <c r="AB60" s="112">
        <f>AA30+AA34+AA37</f>
        <v>14000</v>
      </c>
      <c r="AC60" s="110">
        <f t="shared" si="1"/>
        <v>235000</v>
      </c>
      <c r="AD60" s="111">
        <f t="shared" si="2"/>
        <v>69000</v>
      </c>
      <c r="AE60" s="110">
        <f t="shared" si="0"/>
        <v>304000</v>
      </c>
    </row>
    <row r="61" spans="2:31" x14ac:dyDescent="0.2">
      <c r="Y61" s="80" t="s">
        <v>120</v>
      </c>
      <c r="Z61" s="19">
        <v>35</v>
      </c>
      <c r="AA61" s="50" t="s">
        <v>161</v>
      </c>
      <c r="AB61" s="112">
        <f>$AA$27+$AA$37</f>
        <v>11000</v>
      </c>
      <c r="AC61" s="110">
        <f t="shared" si="1"/>
        <v>246000</v>
      </c>
      <c r="AD61" s="111">
        <f t="shared" si="2"/>
        <v>64800</v>
      </c>
      <c r="AE61" s="110">
        <f t="shared" si="0"/>
        <v>310800</v>
      </c>
    </row>
    <row r="62" spans="2:31" x14ac:dyDescent="0.2">
      <c r="Y62" s="80" t="s">
        <v>121</v>
      </c>
      <c r="Z62" s="19">
        <v>34</v>
      </c>
      <c r="AA62" s="50" t="s">
        <v>161</v>
      </c>
      <c r="AB62" s="112">
        <f>$AA$27+$AA$37</f>
        <v>11000</v>
      </c>
      <c r="AC62" s="110">
        <f t="shared" si="1"/>
        <v>257000</v>
      </c>
      <c r="AD62" s="111">
        <f t="shared" si="2"/>
        <v>60600</v>
      </c>
      <c r="AE62" s="110">
        <f t="shared" si="0"/>
        <v>317600</v>
      </c>
    </row>
    <row r="63" spans="2:31" x14ac:dyDescent="0.2">
      <c r="Y63" s="80" t="s">
        <v>151</v>
      </c>
      <c r="Z63" s="19">
        <v>33</v>
      </c>
      <c r="AA63" s="50" t="s">
        <v>162</v>
      </c>
      <c r="AB63" s="112">
        <f>AA32+AA28</f>
        <v>12000</v>
      </c>
      <c r="AC63" s="110">
        <f t="shared" si="1"/>
        <v>269000</v>
      </c>
      <c r="AD63" s="111">
        <f t="shared" si="2"/>
        <v>56400</v>
      </c>
      <c r="AE63" s="110">
        <f t="shared" si="0"/>
        <v>325400</v>
      </c>
    </row>
    <row r="64" spans="2:31" x14ac:dyDescent="0.2">
      <c r="Y64" s="80" t="s">
        <v>152</v>
      </c>
      <c r="Z64" s="19">
        <v>32</v>
      </c>
      <c r="AA64" s="50" t="s">
        <v>163</v>
      </c>
      <c r="AB64" s="118">
        <f>AA31+AA32+AA28</f>
        <v>16000</v>
      </c>
      <c r="AC64" s="110">
        <f t="shared" si="1"/>
        <v>285000</v>
      </c>
      <c r="AD64" s="111">
        <f t="shared" si="2"/>
        <v>52200</v>
      </c>
      <c r="AE64" s="110">
        <f t="shared" si="0"/>
        <v>337200</v>
      </c>
    </row>
    <row r="65" spans="25:31" x14ac:dyDescent="0.2">
      <c r="Y65" s="80" t="s">
        <v>153</v>
      </c>
      <c r="Z65" s="19">
        <v>31</v>
      </c>
      <c r="AA65" s="50" t="s">
        <v>164</v>
      </c>
      <c r="AB65" s="112">
        <f>AA31+AA39+AA28</f>
        <v>12000</v>
      </c>
      <c r="AC65" s="110">
        <f t="shared" si="1"/>
        <v>297000</v>
      </c>
      <c r="AD65" s="111">
        <f t="shared" si="2"/>
        <v>48000</v>
      </c>
      <c r="AE65" s="110">
        <f t="shared" si="0"/>
        <v>345000</v>
      </c>
    </row>
  </sheetData>
  <mergeCells count="87">
    <mergeCell ref="Y47:Z47"/>
    <mergeCell ref="Y48:Z48"/>
    <mergeCell ref="Y49:Z49"/>
    <mergeCell ref="AA45:AB45"/>
    <mergeCell ref="AA46:AB46"/>
    <mergeCell ref="AA47:AB47"/>
    <mergeCell ref="AA48:AB48"/>
    <mergeCell ref="AA49:AB49"/>
    <mergeCell ref="G42:V43"/>
    <mergeCell ref="U48:V48"/>
    <mergeCell ref="S45:T45"/>
    <mergeCell ref="U45:V45"/>
    <mergeCell ref="S47:T47"/>
    <mergeCell ref="U47:V47"/>
    <mergeCell ref="O46:P46"/>
    <mergeCell ref="I46:J46"/>
    <mergeCell ref="K46:L46"/>
    <mergeCell ref="M46:N46"/>
    <mergeCell ref="W47:X47"/>
    <mergeCell ref="W48:X48"/>
    <mergeCell ref="W49:X49"/>
    <mergeCell ref="W44:X44"/>
    <mergeCell ref="Q46:R46"/>
    <mergeCell ref="S46:T46"/>
    <mergeCell ref="U46:V46"/>
    <mergeCell ref="R30:V30"/>
    <mergeCell ref="R29:V29"/>
    <mergeCell ref="R28:V28"/>
    <mergeCell ref="R27:V27"/>
    <mergeCell ref="B48:F48"/>
    <mergeCell ref="G48:H48"/>
    <mergeCell ref="I48:J48"/>
    <mergeCell ref="K48:L48"/>
    <mergeCell ref="M48:N48"/>
    <mergeCell ref="O48:P48"/>
    <mergeCell ref="Q48:R48"/>
    <mergeCell ref="B47:F47"/>
    <mergeCell ref="G47:H47"/>
    <mergeCell ref="I47:J47"/>
    <mergeCell ref="K47:L47"/>
    <mergeCell ref="M47:N47"/>
    <mergeCell ref="Z20:AI20"/>
    <mergeCell ref="Z21:AA21"/>
    <mergeCell ref="AE21:AI21"/>
    <mergeCell ref="W46:X46"/>
    <mergeCell ref="Z22:Z24"/>
    <mergeCell ref="AA22:AA24"/>
    <mergeCell ref="Y46:Z46"/>
    <mergeCell ref="O49:P49"/>
    <mergeCell ref="Q49:R49"/>
    <mergeCell ref="S49:T49"/>
    <mergeCell ref="U49:V49"/>
    <mergeCell ref="O44:P44"/>
    <mergeCell ref="Q44:R44"/>
    <mergeCell ref="S44:T44"/>
    <mergeCell ref="U44:V44"/>
    <mergeCell ref="O45:P45"/>
    <mergeCell ref="Q45:R45"/>
    <mergeCell ref="S48:T48"/>
    <mergeCell ref="O47:P47"/>
    <mergeCell ref="Q47:R47"/>
    <mergeCell ref="B46:F46"/>
    <mergeCell ref="G46:H46"/>
    <mergeCell ref="AF22:AI22"/>
    <mergeCell ref="AF23:AG23"/>
    <mergeCell ref="AH23:AI23"/>
    <mergeCell ref="W45:X45"/>
    <mergeCell ref="Y44:Z44"/>
    <mergeCell ref="AA44:AB44"/>
    <mergeCell ref="Y45:Z45"/>
    <mergeCell ref="AB22:AE22"/>
    <mergeCell ref="R31:V31"/>
    <mergeCell ref="B45:F45"/>
    <mergeCell ref="G45:H45"/>
    <mergeCell ref="I45:J45"/>
    <mergeCell ref="K45:L45"/>
    <mergeCell ref="M45:N45"/>
    <mergeCell ref="B44:F44"/>
    <mergeCell ref="G44:H44"/>
    <mergeCell ref="I44:J44"/>
    <mergeCell ref="K44:L44"/>
    <mergeCell ref="M44:N44"/>
    <mergeCell ref="B49:F49"/>
    <mergeCell ref="G49:H49"/>
    <mergeCell ref="I49:J49"/>
    <mergeCell ref="K49:L49"/>
    <mergeCell ref="M49:N49"/>
  </mergeCells>
  <phoneticPr fontId="28" type="noConversion"/>
  <conditionalFormatting sqref="C5">
    <cfRule type="cellIs" dxfId="69" priority="14" operator="equal">
      <formula>0</formula>
    </cfRule>
  </conditionalFormatting>
  <conditionalFormatting sqref="H5">
    <cfRule type="cellIs" dxfId="68" priority="12" operator="equal">
      <formula>0</formula>
    </cfRule>
  </conditionalFormatting>
  <conditionalFormatting sqref="H9">
    <cfRule type="cellIs" dxfId="67" priority="13" operator="equal">
      <formula>0</formula>
    </cfRule>
  </conditionalFormatting>
  <conditionalFormatting sqref="H13">
    <cfRule type="cellIs" dxfId="66" priority="11" operator="equal">
      <formula>0</formula>
    </cfRule>
  </conditionalFormatting>
  <conditionalFormatting sqref="L5">
    <cfRule type="cellIs" dxfId="65" priority="10" operator="equal">
      <formula>0</formula>
    </cfRule>
  </conditionalFormatting>
  <conditionalFormatting sqref="P5">
    <cfRule type="cellIs" dxfId="64" priority="9" operator="equal">
      <formula>0</formula>
    </cfRule>
  </conditionalFormatting>
  <conditionalFormatting sqref="P9">
    <cfRule type="cellIs" dxfId="63" priority="8" operator="equal">
      <formula>0</formula>
    </cfRule>
  </conditionalFormatting>
  <conditionalFormatting sqref="T9">
    <cfRule type="cellIs" dxfId="62" priority="7" operator="equal">
      <formula>0</formula>
    </cfRule>
  </conditionalFormatting>
  <conditionalFormatting sqref="X9">
    <cfRule type="cellIs" dxfId="61" priority="6" operator="equal">
      <formula>0</formula>
    </cfRule>
  </conditionalFormatting>
  <conditionalFormatting sqref="X13">
    <cfRule type="cellIs" dxfId="60" priority="4" operator="equal">
      <formula>0</formula>
    </cfRule>
  </conditionalFormatting>
  <conditionalFormatting sqref="AB9">
    <cfRule type="cellIs" dxfId="59" priority="5" operator="equal">
      <formula>0</formula>
    </cfRule>
  </conditionalFormatting>
  <conditionalFormatting sqref="AB13">
    <cfRule type="cellIs" dxfId="58" priority="3" operator="equal">
      <formula>0</formula>
    </cfRule>
  </conditionalFormatting>
  <conditionalFormatting sqref="AF6">
    <cfRule type="cellIs" dxfId="57" priority="1" operator="equal">
      <formula>0</formula>
    </cfRule>
  </conditionalFormatting>
  <conditionalFormatting sqref="AF12">
    <cfRule type="cellIs" dxfId="56" priority="2" operator="equal">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V31"/>
  <sheetViews>
    <sheetView zoomScale="90" zoomScaleNormal="90" workbookViewId="0"/>
  </sheetViews>
  <sheetFormatPr baseColWidth="10" defaultColWidth="8.83203125" defaultRowHeight="15" x14ac:dyDescent="0.2"/>
  <cols>
    <col min="1" max="1" width="3" customWidth="1"/>
    <col min="2" max="2" width="3.83203125" bestFit="1" customWidth="1"/>
    <col min="3" max="3" width="44.83203125" customWidth="1"/>
    <col min="4" max="6" width="14.5" customWidth="1"/>
    <col min="7" max="7" width="24.33203125" customWidth="1"/>
    <col min="8" max="8" width="14.5" customWidth="1"/>
    <col min="9" max="9" width="4.83203125" customWidth="1"/>
    <col min="10" max="10" width="9.1640625" style="2"/>
    <col min="13" max="13" width="26.6640625" customWidth="1"/>
    <col min="14" max="14" width="16.5" customWidth="1"/>
  </cols>
  <sheetData>
    <row r="2" spans="2:22" x14ac:dyDescent="0.2">
      <c r="B2" s="175" t="s">
        <v>24</v>
      </c>
      <c r="C2" s="175"/>
      <c r="D2" s="175"/>
      <c r="E2" s="175"/>
      <c r="F2" s="175"/>
      <c r="G2" s="175"/>
      <c r="H2" s="175"/>
    </row>
    <row r="3" spans="2:22" ht="30" x14ac:dyDescent="0.2">
      <c r="B3" s="11" t="s">
        <v>67</v>
      </c>
      <c r="C3" s="17" t="s">
        <v>25</v>
      </c>
      <c r="D3" s="17" t="s">
        <v>26</v>
      </c>
      <c r="E3" s="17" t="s">
        <v>27</v>
      </c>
      <c r="F3" s="17" t="s">
        <v>28</v>
      </c>
      <c r="G3" s="17" t="s">
        <v>29</v>
      </c>
      <c r="H3" s="17" t="s">
        <v>30</v>
      </c>
      <c r="I3" s="31"/>
      <c r="J3" s="30" t="s">
        <v>16</v>
      </c>
      <c r="K3" s="30" t="s">
        <v>17</v>
      </c>
    </row>
    <row r="4" spans="2:22" ht="18" x14ac:dyDescent="0.2">
      <c r="B4" s="12">
        <v>1</v>
      </c>
      <c r="C4" s="21" t="s">
        <v>31</v>
      </c>
      <c r="D4" s="14">
        <v>54</v>
      </c>
      <c r="E4" s="14">
        <v>68</v>
      </c>
      <c r="F4" s="14">
        <v>92</v>
      </c>
      <c r="G4" s="14"/>
      <c r="H4" s="14"/>
      <c r="I4" s="32"/>
      <c r="J4" s="18">
        <f>(D4+4*E4+F4)/6</f>
        <v>69.666666666666671</v>
      </c>
      <c r="K4" s="19">
        <f>((F4-D4)/6)^2</f>
        <v>40.111111111111107</v>
      </c>
      <c r="M4" s="24" t="s">
        <v>20</v>
      </c>
      <c r="N4" s="22">
        <f>J5+J12+J13+J17+J19+J24+J27+J28+J29+J30+J31</f>
        <v>69</v>
      </c>
      <c r="O4" s="23">
        <f>SQRT(K5+K12+K13+K17+K19+K24+K27+K28+K29+K30+K31)</f>
        <v>2.4152294576982394</v>
      </c>
    </row>
    <row r="5" spans="2:22" ht="22" x14ac:dyDescent="0.2">
      <c r="B5" s="12">
        <v>2</v>
      </c>
      <c r="C5" s="14" t="s">
        <v>32</v>
      </c>
      <c r="D5" s="14">
        <v>0.5</v>
      </c>
      <c r="E5" s="14">
        <v>1</v>
      </c>
      <c r="F5" s="14">
        <v>1.5</v>
      </c>
      <c r="G5" s="14"/>
      <c r="H5" s="15" t="s">
        <v>33</v>
      </c>
      <c r="I5" s="33"/>
      <c r="J5" s="18">
        <f t="shared" ref="J5:J7" si="0">(D5+4*E5+F5)/6</f>
        <v>1</v>
      </c>
      <c r="K5" s="19">
        <f t="shared" ref="K5:K31" si="1">((F5-D5)/6)^2</f>
        <v>2.7777777777777776E-2</v>
      </c>
      <c r="M5" s="24" t="s">
        <v>19</v>
      </c>
      <c r="N5" s="23">
        <v>2.42</v>
      </c>
      <c r="P5" s="176" t="s">
        <v>75</v>
      </c>
      <c r="Q5" s="176"/>
      <c r="R5" s="176"/>
      <c r="S5" s="176"/>
      <c r="T5" s="176"/>
      <c r="U5" s="176"/>
      <c r="V5" s="176"/>
    </row>
    <row r="6" spans="2:22" ht="19" x14ac:dyDescent="0.2">
      <c r="B6" s="12">
        <v>3</v>
      </c>
      <c r="C6" s="14" t="s">
        <v>34</v>
      </c>
      <c r="D6" s="14">
        <v>6</v>
      </c>
      <c r="E6" s="14">
        <v>7</v>
      </c>
      <c r="F6" s="14">
        <v>8</v>
      </c>
      <c r="G6" s="14">
        <v>2</v>
      </c>
      <c r="H6" s="14"/>
      <c r="I6" s="33"/>
      <c r="J6" s="18">
        <f t="shared" si="0"/>
        <v>7</v>
      </c>
      <c r="K6" s="19">
        <f t="shared" si="1"/>
        <v>0.1111111111111111</v>
      </c>
      <c r="M6" s="25"/>
      <c r="N6" s="1"/>
      <c r="P6" s="176"/>
      <c r="Q6" s="176"/>
      <c r="R6" s="176"/>
      <c r="S6" s="176"/>
      <c r="T6" s="176"/>
      <c r="U6" s="176"/>
      <c r="V6" s="176"/>
    </row>
    <row r="7" spans="2:22" ht="19" x14ac:dyDescent="0.2">
      <c r="B7" s="12">
        <v>4</v>
      </c>
      <c r="C7" s="14" t="s">
        <v>35</v>
      </c>
      <c r="D7" s="14">
        <v>12</v>
      </c>
      <c r="E7" s="14">
        <v>14</v>
      </c>
      <c r="F7" s="14">
        <v>16</v>
      </c>
      <c r="G7" s="14">
        <v>2</v>
      </c>
      <c r="H7" s="14"/>
      <c r="I7" s="33"/>
      <c r="J7" s="18">
        <f t="shared" si="0"/>
        <v>14</v>
      </c>
      <c r="K7" s="19">
        <f t="shared" si="1"/>
        <v>0.44444444444444442</v>
      </c>
      <c r="M7" s="24" t="s">
        <v>68</v>
      </c>
      <c r="N7" s="28">
        <v>68</v>
      </c>
      <c r="P7" s="176"/>
      <c r="Q7" s="176"/>
      <c r="R7" s="176"/>
      <c r="S7" s="176"/>
      <c r="T7" s="176"/>
      <c r="U7" s="176"/>
      <c r="V7" s="176"/>
    </row>
    <row r="8" spans="2:22" ht="19" x14ac:dyDescent="0.2">
      <c r="B8" s="12">
        <v>5</v>
      </c>
      <c r="C8" s="16" t="s">
        <v>36</v>
      </c>
      <c r="D8" s="14" t="s">
        <v>37</v>
      </c>
      <c r="E8" s="14" t="s">
        <v>37</v>
      </c>
      <c r="F8" s="14" t="s">
        <v>37</v>
      </c>
      <c r="G8" s="14" t="s">
        <v>37</v>
      </c>
      <c r="H8" s="14"/>
      <c r="I8" s="32"/>
      <c r="J8" s="20" t="s">
        <v>37</v>
      </c>
      <c r="K8" s="20" t="s">
        <v>37</v>
      </c>
      <c r="M8" s="25"/>
      <c r="N8" s="25"/>
      <c r="P8" s="176"/>
      <c r="Q8" s="176"/>
      <c r="R8" s="176"/>
      <c r="S8" s="176"/>
      <c r="T8" s="176"/>
      <c r="U8" s="176"/>
      <c r="V8" s="176"/>
    </row>
    <row r="9" spans="2:22" ht="19" x14ac:dyDescent="0.2">
      <c r="B9" s="12">
        <v>6</v>
      </c>
      <c r="C9" s="14" t="s">
        <v>38</v>
      </c>
      <c r="D9" s="14">
        <v>18</v>
      </c>
      <c r="E9" s="14">
        <v>21</v>
      </c>
      <c r="F9" s="14">
        <v>30</v>
      </c>
      <c r="G9" s="14">
        <v>2</v>
      </c>
      <c r="H9" s="14"/>
      <c r="I9" s="33"/>
      <c r="J9" s="18">
        <f t="shared" ref="J9:J10" si="2">(D9+4*E9+F9)/6</f>
        <v>22</v>
      </c>
      <c r="K9" s="19">
        <f t="shared" si="1"/>
        <v>4</v>
      </c>
      <c r="M9" s="24" t="s">
        <v>23</v>
      </c>
      <c r="N9" s="29">
        <f>_xlfn.NORM.DIST(N7,N4,N5,TRUE)</f>
        <v>0.33972156776780943</v>
      </c>
      <c r="P9" s="176"/>
      <c r="Q9" s="176"/>
      <c r="R9" s="176"/>
      <c r="S9" s="176"/>
      <c r="T9" s="176"/>
      <c r="U9" s="176"/>
      <c r="V9" s="176"/>
    </row>
    <row r="10" spans="2:22" ht="19" x14ac:dyDescent="0.2">
      <c r="B10" s="12">
        <v>7</v>
      </c>
      <c r="C10" s="14" t="s">
        <v>39</v>
      </c>
      <c r="D10" s="14">
        <v>5</v>
      </c>
      <c r="E10" s="14">
        <v>7</v>
      </c>
      <c r="F10" s="14">
        <v>9</v>
      </c>
      <c r="G10" s="14">
        <v>6</v>
      </c>
      <c r="H10" s="14"/>
      <c r="I10" s="33"/>
      <c r="J10" s="18">
        <f t="shared" si="2"/>
        <v>7</v>
      </c>
      <c r="K10" s="19">
        <f t="shared" si="1"/>
        <v>0.44444444444444442</v>
      </c>
    </row>
    <row r="11" spans="2:22" ht="19" x14ac:dyDescent="0.2">
      <c r="B11" s="12">
        <v>8</v>
      </c>
      <c r="C11" s="16" t="s">
        <v>40</v>
      </c>
      <c r="D11" s="14" t="s">
        <v>37</v>
      </c>
      <c r="E11" s="14" t="s">
        <v>37</v>
      </c>
      <c r="F11" s="14" t="s">
        <v>37</v>
      </c>
      <c r="G11" s="14" t="s">
        <v>37</v>
      </c>
      <c r="H11" s="14"/>
      <c r="I11" s="32"/>
      <c r="J11" s="20" t="s">
        <v>37</v>
      </c>
      <c r="K11" s="20" t="s">
        <v>37</v>
      </c>
    </row>
    <row r="12" spans="2:22" ht="22" x14ac:dyDescent="0.2">
      <c r="B12" s="12">
        <v>9</v>
      </c>
      <c r="C12" s="14" t="s">
        <v>41</v>
      </c>
      <c r="D12" s="14">
        <v>13</v>
      </c>
      <c r="E12" s="14">
        <v>14</v>
      </c>
      <c r="F12" s="14">
        <v>21</v>
      </c>
      <c r="G12" s="14">
        <v>2</v>
      </c>
      <c r="H12" s="15" t="s">
        <v>33</v>
      </c>
      <c r="I12" s="33"/>
      <c r="J12" s="18">
        <f t="shared" ref="J12:J31" si="3">(D12+4*E12+F12)/6</f>
        <v>15</v>
      </c>
      <c r="K12" s="19">
        <f t="shared" si="1"/>
        <v>1.7777777777777777</v>
      </c>
      <c r="M12" s="26" t="s">
        <v>69</v>
      </c>
    </row>
    <row r="13" spans="2:22" ht="22" x14ac:dyDescent="0.2">
      <c r="B13" s="12">
        <v>10</v>
      </c>
      <c r="C13" s="14" t="s">
        <v>42</v>
      </c>
      <c r="D13" s="14">
        <v>17</v>
      </c>
      <c r="E13" s="14">
        <v>21</v>
      </c>
      <c r="F13" s="14">
        <v>25</v>
      </c>
      <c r="G13" s="14">
        <v>9</v>
      </c>
      <c r="H13" s="15" t="s">
        <v>33</v>
      </c>
      <c r="I13" s="33"/>
      <c r="J13" s="18">
        <f t="shared" si="3"/>
        <v>21</v>
      </c>
      <c r="K13" s="19">
        <f t="shared" si="1"/>
        <v>1.7777777777777777</v>
      </c>
    </row>
    <row r="14" spans="2:22" ht="19" x14ac:dyDescent="0.2">
      <c r="B14" s="12">
        <v>11</v>
      </c>
      <c r="C14" s="16" t="s">
        <v>43</v>
      </c>
      <c r="D14" s="14" t="s">
        <v>37</v>
      </c>
      <c r="E14" s="14" t="s">
        <v>37</v>
      </c>
      <c r="F14" s="14" t="s">
        <v>37</v>
      </c>
      <c r="G14" s="14" t="s">
        <v>37</v>
      </c>
      <c r="H14" s="14"/>
      <c r="I14" s="32"/>
      <c r="J14" s="20" t="s">
        <v>37</v>
      </c>
      <c r="K14" s="20" t="s">
        <v>37</v>
      </c>
      <c r="M14" s="27" t="s">
        <v>70</v>
      </c>
      <c r="N14" s="48">
        <v>0.93</v>
      </c>
    </row>
    <row r="15" spans="2:22" ht="19" x14ac:dyDescent="0.2">
      <c r="B15" s="12">
        <v>12</v>
      </c>
      <c r="C15" s="14" t="s">
        <v>44</v>
      </c>
      <c r="D15" s="14">
        <v>6</v>
      </c>
      <c r="E15" s="14">
        <v>7</v>
      </c>
      <c r="F15" s="14">
        <v>8</v>
      </c>
      <c r="G15" s="14">
        <v>2</v>
      </c>
      <c r="H15" s="14"/>
      <c r="I15" s="33"/>
      <c r="J15" s="18">
        <f t="shared" si="3"/>
        <v>7</v>
      </c>
      <c r="K15" s="19">
        <f t="shared" si="1"/>
        <v>0.1111111111111111</v>
      </c>
      <c r="M15" s="47" t="s">
        <v>68</v>
      </c>
      <c r="N15" s="28">
        <v>68</v>
      </c>
    </row>
    <row r="16" spans="2:22" ht="19" x14ac:dyDescent="0.2">
      <c r="B16" s="12">
        <v>13</v>
      </c>
      <c r="C16" s="14" t="s">
        <v>45</v>
      </c>
      <c r="D16" s="14">
        <v>5</v>
      </c>
      <c r="E16" s="14">
        <v>5</v>
      </c>
      <c r="F16" s="14">
        <v>11</v>
      </c>
      <c r="G16" s="14" t="s">
        <v>46</v>
      </c>
      <c r="H16" s="14"/>
      <c r="I16" s="33"/>
      <c r="J16" s="18">
        <f t="shared" si="3"/>
        <v>6</v>
      </c>
      <c r="K16" s="19">
        <f t="shared" si="1"/>
        <v>1</v>
      </c>
      <c r="P16" s="176" t="s">
        <v>76</v>
      </c>
      <c r="Q16" s="176"/>
      <c r="R16" s="176"/>
      <c r="S16" s="176"/>
      <c r="T16" s="176"/>
      <c r="U16" s="176"/>
      <c r="V16" s="176"/>
    </row>
    <row r="17" spans="2:22" ht="22" x14ac:dyDescent="0.2">
      <c r="B17" s="12">
        <v>14</v>
      </c>
      <c r="C17" s="14" t="s">
        <v>47</v>
      </c>
      <c r="D17" s="14">
        <v>6</v>
      </c>
      <c r="E17" s="14">
        <v>8</v>
      </c>
      <c r="F17" s="14">
        <v>10</v>
      </c>
      <c r="G17" s="14" t="s">
        <v>46</v>
      </c>
      <c r="H17" s="15" t="s">
        <v>33</v>
      </c>
      <c r="I17" s="33"/>
      <c r="J17" s="18">
        <f t="shared" si="3"/>
        <v>8</v>
      </c>
      <c r="K17" s="19">
        <f t="shared" si="1"/>
        <v>0.44444444444444442</v>
      </c>
      <c r="M17" s="24" t="s">
        <v>20</v>
      </c>
      <c r="N17" s="49" t="s">
        <v>70</v>
      </c>
      <c r="P17" s="176"/>
      <c r="Q17" s="176"/>
      <c r="R17" s="176"/>
      <c r="S17" s="176"/>
      <c r="T17" s="176"/>
      <c r="U17" s="176"/>
      <c r="V17" s="176"/>
    </row>
    <row r="18" spans="2:22" ht="19" x14ac:dyDescent="0.2">
      <c r="B18" s="12">
        <v>15</v>
      </c>
      <c r="C18" s="14" t="s">
        <v>48</v>
      </c>
      <c r="D18" s="14">
        <v>19</v>
      </c>
      <c r="E18" s="14">
        <v>20</v>
      </c>
      <c r="F18" s="14">
        <v>27</v>
      </c>
      <c r="G18" s="14" t="s">
        <v>49</v>
      </c>
      <c r="H18" s="14"/>
      <c r="I18" s="33"/>
      <c r="J18" s="18">
        <f t="shared" si="3"/>
        <v>21</v>
      </c>
      <c r="K18" s="19">
        <f t="shared" si="1"/>
        <v>1.7777777777777777</v>
      </c>
      <c r="M18" s="50">
        <v>68</v>
      </c>
      <c r="N18" s="51">
        <f>_xlfn.NORM.DIST($N$15,M18,$N$5,TRUE)</f>
        <v>0.5</v>
      </c>
      <c r="P18" s="176"/>
      <c r="Q18" s="176"/>
      <c r="R18" s="176"/>
      <c r="S18" s="176"/>
      <c r="T18" s="176"/>
      <c r="U18" s="176"/>
      <c r="V18" s="176"/>
    </row>
    <row r="19" spans="2:22" ht="22" x14ac:dyDescent="0.2">
      <c r="B19" s="12">
        <v>16</v>
      </c>
      <c r="C19" s="14" t="s">
        <v>50</v>
      </c>
      <c r="D19" s="14">
        <v>1</v>
      </c>
      <c r="E19" s="14">
        <v>2</v>
      </c>
      <c r="F19" s="14">
        <v>3</v>
      </c>
      <c r="G19" s="14" t="s">
        <v>51</v>
      </c>
      <c r="H19" s="15" t="s">
        <v>33</v>
      </c>
      <c r="I19" s="33"/>
      <c r="J19" s="18">
        <f t="shared" si="3"/>
        <v>2</v>
      </c>
      <c r="K19" s="19">
        <f t="shared" si="1"/>
        <v>0.1111111111111111</v>
      </c>
      <c r="M19" s="50">
        <v>67</v>
      </c>
      <c r="N19" s="51">
        <f t="shared" ref="N19:N25" si="4">_xlfn.NORM.DIST($N$15,M19,$N$5,TRUE)</f>
        <v>0.66027843223219063</v>
      </c>
      <c r="P19" s="176"/>
      <c r="Q19" s="176"/>
      <c r="R19" s="176"/>
      <c r="S19" s="176"/>
      <c r="T19" s="176"/>
      <c r="U19" s="176"/>
      <c r="V19" s="176"/>
    </row>
    <row r="20" spans="2:22" ht="19" x14ac:dyDescent="0.2">
      <c r="B20" s="12">
        <v>17</v>
      </c>
      <c r="C20" s="16" t="s">
        <v>52</v>
      </c>
      <c r="D20" s="14" t="s">
        <v>37</v>
      </c>
      <c r="E20" s="14" t="s">
        <v>37</v>
      </c>
      <c r="F20" s="14" t="s">
        <v>37</v>
      </c>
      <c r="G20" s="14" t="s">
        <v>37</v>
      </c>
      <c r="H20" s="14"/>
      <c r="I20" s="32"/>
      <c r="J20" s="20" t="s">
        <v>37</v>
      </c>
      <c r="K20" s="20" t="s">
        <v>37</v>
      </c>
      <c r="M20" s="50">
        <v>66</v>
      </c>
      <c r="N20" s="51">
        <f t="shared" si="4"/>
        <v>0.79572451047681247</v>
      </c>
      <c r="P20" s="176"/>
      <c r="Q20" s="176"/>
      <c r="R20" s="176"/>
      <c r="S20" s="176"/>
      <c r="T20" s="176"/>
      <c r="U20" s="176"/>
      <c r="V20" s="176"/>
    </row>
    <row r="21" spans="2:22" ht="19" x14ac:dyDescent="0.2">
      <c r="B21" s="12">
        <v>18</v>
      </c>
      <c r="C21" s="14" t="s">
        <v>53</v>
      </c>
      <c r="D21" s="14">
        <v>7</v>
      </c>
      <c r="E21" s="14">
        <v>8</v>
      </c>
      <c r="F21" s="14">
        <v>9</v>
      </c>
      <c r="G21" s="14">
        <v>14</v>
      </c>
      <c r="H21" s="14"/>
      <c r="I21" s="33"/>
      <c r="J21" s="18">
        <f t="shared" si="3"/>
        <v>8</v>
      </c>
      <c r="K21" s="19">
        <f t="shared" si="1"/>
        <v>0.1111111111111111</v>
      </c>
      <c r="M21" s="50">
        <v>65</v>
      </c>
      <c r="N21" s="51">
        <f t="shared" si="4"/>
        <v>0.89245115410317377</v>
      </c>
    </row>
    <row r="22" spans="2:22" ht="19" x14ac:dyDescent="0.2">
      <c r="B22" s="12">
        <v>19</v>
      </c>
      <c r="C22" s="14" t="s">
        <v>54</v>
      </c>
      <c r="D22" s="14">
        <v>5</v>
      </c>
      <c r="E22" s="14">
        <v>7</v>
      </c>
      <c r="F22" s="14">
        <v>9</v>
      </c>
      <c r="G22" s="14">
        <v>14</v>
      </c>
      <c r="H22" s="14"/>
      <c r="I22" s="33"/>
      <c r="J22" s="18">
        <f t="shared" si="3"/>
        <v>7</v>
      </c>
      <c r="K22" s="19">
        <f t="shared" si="1"/>
        <v>0.44444444444444442</v>
      </c>
      <c r="M22" s="50">
        <v>64</v>
      </c>
      <c r="N22" s="51">
        <f t="shared" si="4"/>
        <v>0.95082363440547546</v>
      </c>
    </row>
    <row r="23" spans="2:22" ht="19" x14ac:dyDescent="0.2">
      <c r="B23" s="12">
        <v>20</v>
      </c>
      <c r="C23" s="14" t="s">
        <v>55</v>
      </c>
      <c r="D23" s="14">
        <v>6</v>
      </c>
      <c r="E23" s="14">
        <v>7</v>
      </c>
      <c r="F23" s="14">
        <v>8</v>
      </c>
      <c r="G23" s="14">
        <v>14</v>
      </c>
      <c r="H23" s="14"/>
      <c r="I23" s="33"/>
      <c r="J23" s="18">
        <f t="shared" si="3"/>
        <v>7</v>
      </c>
      <c r="K23" s="19">
        <f t="shared" si="1"/>
        <v>0.1111111111111111</v>
      </c>
      <c r="M23" s="50">
        <v>63</v>
      </c>
      <c r="N23" s="51">
        <f t="shared" si="4"/>
        <v>0.9805912220481191</v>
      </c>
    </row>
    <row r="24" spans="2:22" ht="22" x14ac:dyDescent="0.2">
      <c r="B24" s="12">
        <v>21</v>
      </c>
      <c r="C24" s="14" t="s">
        <v>56</v>
      </c>
      <c r="D24" s="14">
        <v>7</v>
      </c>
      <c r="E24" s="14">
        <v>7</v>
      </c>
      <c r="F24" s="14">
        <v>13</v>
      </c>
      <c r="G24" s="14">
        <v>14</v>
      </c>
      <c r="H24" s="15" t="s">
        <v>33</v>
      </c>
      <c r="I24" s="33"/>
      <c r="J24" s="18">
        <f t="shared" si="3"/>
        <v>8</v>
      </c>
      <c r="K24" s="19">
        <f t="shared" si="1"/>
        <v>1</v>
      </c>
      <c r="M24" s="50">
        <v>62</v>
      </c>
      <c r="N24" s="51">
        <f t="shared" si="4"/>
        <v>0.99341869017246576</v>
      </c>
    </row>
    <row r="25" spans="2:22" ht="19" x14ac:dyDescent="0.2">
      <c r="B25" s="12">
        <v>22</v>
      </c>
      <c r="C25" s="14" t="s">
        <v>57</v>
      </c>
      <c r="D25" s="14">
        <v>5</v>
      </c>
      <c r="E25" s="14">
        <v>6</v>
      </c>
      <c r="F25" s="14">
        <v>13</v>
      </c>
      <c r="G25" s="14">
        <v>14</v>
      </c>
      <c r="H25" s="19"/>
      <c r="I25" s="33"/>
      <c r="J25" s="18">
        <f t="shared" si="3"/>
        <v>7</v>
      </c>
      <c r="K25" s="19">
        <f t="shared" si="1"/>
        <v>1.7777777777777777</v>
      </c>
      <c r="M25" s="50">
        <v>61</v>
      </c>
      <c r="N25" s="51">
        <f t="shared" si="4"/>
        <v>0.99808943111631354</v>
      </c>
    </row>
    <row r="26" spans="2:22" ht="21" x14ac:dyDescent="0.2">
      <c r="B26" s="12">
        <v>23</v>
      </c>
      <c r="C26" s="16" t="s">
        <v>58</v>
      </c>
      <c r="D26" s="14">
        <v>0.5</v>
      </c>
      <c r="E26" s="14">
        <v>1</v>
      </c>
      <c r="F26" s="14">
        <v>1.5</v>
      </c>
      <c r="G26" s="14" t="s">
        <v>59</v>
      </c>
      <c r="H26" s="15"/>
      <c r="I26" s="33"/>
      <c r="J26" s="18">
        <f t="shared" si="3"/>
        <v>1</v>
      </c>
      <c r="K26" s="19">
        <f t="shared" si="1"/>
        <v>2.7777777777777776E-2</v>
      </c>
    </row>
    <row r="27" spans="2:22" ht="22" x14ac:dyDescent="0.2">
      <c r="B27" s="12">
        <v>24</v>
      </c>
      <c r="C27" s="13" t="s">
        <v>60</v>
      </c>
      <c r="D27" s="14">
        <v>5</v>
      </c>
      <c r="E27" s="14">
        <v>7</v>
      </c>
      <c r="F27" s="14">
        <v>9</v>
      </c>
      <c r="G27" s="14" t="s">
        <v>61</v>
      </c>
      <c r="H27" s="15" t="s">
        <v>33</v>
      </c>
      <c r="I27" s="33"/>
      <c r="J27" s="18">
        <f t="shared" si="3"/>
        <v>7</v>
      </c>
      <c r="K27" s="19">
        <f t="shared" si="1"/>
        <v>0.44444444444444442</v>
      </c>
    </row>
    <row r="28" spans="2:22" ht="22" x14ac:dyDescent="0.2">
      <c r="B28" s="12">
        <v>25</v>
      </c>
      <c r="C28" s="16" t="s">
        <v>62</v>
      </c>
      <c r="D28" s="14">
        <v>1</v>
      </c>
      <c r="E28" s="14">
        <v>2</v>
      </c>
      <c r="F28" s="14">
        <v>3</v>
      </c>
      <c r="G28" s="14" t="s">
        <v>63</v>
      </c>
      <c r="H28" s="15" t="s">
        <v>33</v>
      </c>
      <c r="I28" s="33"/>
      <c r="J28" s="18">
        <f t="shared" si="3"/>
        <v>2</v>
      </c>
      <c r="K28" s="19">
        <f t="shared" si="1"/>
        <v>0.1111111111111111</v>
      </c>
    </row>
    <row r="29" spans="2:22" ht="22" x14ac:dyDescent="0.2">
      <c r="B29" s="12">
        <v>26</v>
      </c>
      <c r="C29" s="16" t="s">
        <v>64</v>
      </c>
      <c r="D29" s="14">
        <v>1.5</v>
      </c>
      <c r="E29" s="14">
        <v>2</v>
      </c>
      <c r="F29" s="14">
        <v>2.5</v>
      </c>
      <c r="G29" s="14">
        <v>25</v>
      </c>
      <c r="H29" s="15" t="s">
        <v>33</v>
      </c>
      <c r="I29" s="33"/>
      <c r="J29" s="18">
        <f t="shared" si="3"/>
        <v>2</v>
      </c>
      <c r="K29" s="19">
        <f t="shared" si="1"/>
        <v>2.7777777777777776E-2</v>
      </c>
    </row>
    <row r="30" spans="2:22" ht="22" x14ac:dyDescent="0.2">
      <c r="B30" s="12">
        <v>27</v>
      </c>
      <c r="C30" s="16" t="s">
        <v>65</v>
      </c>
      <c r="D30" s="14">
        <v>1</v>
      </c>
      <c r="E30" s="14">
        <v>1</v>
      </c>
      <c r="F30" s="14">
        <v>1</v>
      </c>
      <c r="G30" s="14">
        <v>26</v>
      </c>
      <c r="H30" s="15" t="s">
        <v>33</v>
      </c>
      <c r="I30" s="33"/>
      <c r="J30" s="18">
        <f t="shared" si="3"/>
        <v>1</v>
      </c>
      <c r="K30" s="19">
        <f t="shared" si="1"/>
        <v>0</v>
      </c>
    </row>
    <row r="31" spans="2:22" ht="22" x14ac:dyDescent="0.2">
      <c r="B31" s="12">
        <v>28</v>
      </c>
      <c r="C31" s="16" t="s">
        <v>66</v>
      </c>
      <c r="D31" s="14">
        <v>1</v>
      </c>
      <c r="E31" s="14">
        <v>2</v>
      </c>
      <c r="F31" s="14">
        <v>3</v>
      </c>
      <c r="G31" s="14">
        <v>27</v>
      </c>
      <c r="H31" s="15" t="s">
        <v>33</v>
      </c>
      <c r="I31" s="33"/>
      <c r="J31" s="18">
        <f t="shared" si="3"/>
        <v>2</v>
      </c>
      <c r="K31" s="19">
        <f t="shared" si="1"/>
        <v>0.1111111111111111</v>
      </c>
    </row>
  </sheetData>
  <mergeCells count="3">
    <mergeCell ref="B2:H2"/>
    <mergeCell ref="P5:V9"/>
    <mergeCell ref="P16:V2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33F1-A9EC-4FEB-BF94-FE5F13858066}">
  <dimension ref="B1:AW73"/>
  <sheetViews>
    <sheetView showGridLines="0" zoomScale="139" zoomScaleNormal="100" workbookViewId="0">
      <selection activeCell="G7" sqref="G7:K7"/>
    </sheetView>
  </sheetViews>
  <sheetFormatPr baseColWidth="10" defaultColWidth="8.83203125" defaultRowHeight="15" x14ac:dyDescent="0.2"/>
  <cols>
    <col min="1" max="1" width="2.6640625" customWidth="1"/>
    <col min="2" max="2" width="15.33203125" bestFit="1" customWidth="1"/>
    <col min="3" max="3" width="39.5" style="1" bestFit="1" customWidth="1"/>
    <col min="4" max="4" width="15.1640625" customWidth="1"/>
    <col min="5" max="5" width="14.6640625" customWidth="1"/>
    <col min="6" max="6" width="12.1640625" bestFit="1" customWidth="1"/>
    <col min="7" max="7" width="11.5" bestFit="1" customWidth="1"/>
    <col min="8" max="8" width="10.1640625" bestFit="1" customWidth="1"/>
    <col min="9" max="9" width="10.33203125" bestFit="1" customWidth="1"/>
    <col min="10" max="10" width="6.5" bestFit="1" customWidth="1"/>
    <col min="11" max="11" width="12.33203125" bestFit="1" customWidth="1"/>
    <col min="12" max="12" width="12.33203125" customWidth="1"/>
    <col min="13" max="13" width="3.5" customWidth="1"/>
    <col min="14" max="14" width="2.83203125" customWidth="1"/>
    <col min="15" max="15" width="5.33203125" style="2" bestFit="1" customWidth="1"/>
    <col min="16" max="16" width="4.83203125" style="2" customWidth="1"/>
    <col min="17" max="17" width="5.5" style="2" bestFit="1" customWidth="1"/>
    <col min="18" max="18" width="4.83203125" style="2" customWidth="1"/>
    <col min="19" max="19" width="5.33203125" style="2" bestFit="1" customWidth="1"/>
    <col min="20" max="21" width="5.5" style="2" bestFit="1" customWidth="1"/>
    <col min="22" max="28" width="5.5" style="2" customWidth="1"/>
    <col min="29" max="32" width="5.5" style="2" bestFit="1" customWidth="1"/>
    <col min="33" max="33" width="4.83203125" style="2" customWidth="1"/>
    <col min="34" max="34" width="5.5" style="2" bestFit="1" customWidth="1"/>
    <col min="35" max="35" width="4.5" style="2" bestFit="1" customWidth="1"/>
    <col min="36" max="36" width="5.5" style="2" bestFit="1" customWidth="1"/>
    <col min="37" max="37" width="5.83203125" style="2" customWidth="1"/>
    <col min="38" max="40" width="5.5" style="2" bestFit="1" customWidth="1"/>
    <col min="41" max="41" width="4.83203125" style="2" customWidth="1"/>
    <col min="42" max="42" width="5.5" style="2" bestFit="1" customWidth="1"/>
    <col min="43" max="43" width="4.83203125" style="2" customWidth="1"/>
    <col min="44" max="44" width="5.5" style="2" bestFit="1" customWidth="1"/>
    <col min="45" max="45" width="4.83203125" style="2" customWidth="1"/>
    <col min="46" max="48" width="5.5" style="2" bestFit="1" customWidth="1"/>
    <col min="49" max="49" width="3.33203125" customWidth="1"/>
  </cols>
  <sheetData>
    <row r="1" spans="2:49" ht="16" thickBot="1" x14ac:dyDescent="0.25"/>
    <row r="2" spans="2:49" ht="16" thickBot="1" x14ac:dyDescent="0.25">
      <c r="N2" s="7"/>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6"/>
    </row>
    <row r="3" spans="2:49" x14ac:dyDescent="0.2">
      <c r="B3" s="63" t="s">
        <v>0</v>
      </c>
      <c r="C3" s="63" t="s">
        <v>1</v>
      </c>
      <c r="D3" s="63" t="s">
        <v>2</v>
      </c>
      <c r="F3" s="55" t="s">
        <v>0</v>
      </c>
      <c r="G3" s="56" t="s">
        <v>13</v>
      </c>
      <c r="H3" s="56" t="s">
        <v>14</v>
      </c>
      <c r="I3" s="57" t="s">
        <v>15</v>
      </c>
      <c r="J3" s="58" t="s">
        <v>71</v>
      </c>
      <c r="K3" s="85" t="s">
        <v>17</v>
      </c>
      <c r="L3" s="87" t="s">
        <v>30</v>
      </c>
      <c r="M3" s="6"/>
      <c r="N3" s="8"/>
      <c r="AW3" s="9"/>
    </row>
    <row r="4" spans="2:49" ht="22" x14ac:dyDescent="0.2">
      <c r="B4" s="19" t="s">
        <v>125</v>
      </c>
      <c r="C4" s="19" t="s">
        <v>79</v>
      </c>
      <c r="D4" s="61" t="s">
        <v>4</v>
      </c>
      <c r="F4" s="19">
        <v>1</v>
      </c>
      <c r="G4" s="19">
        <v>1</v>
      </c>
      <c r="H4" s="19">
        <v>2</v>
      </c>
      <c r="I4" s="19">
        <v>3</v>
      </c>
      <c r="J4" s="93">
        <f>ROUND((G4+4*H4+I4)/6,0)</f>
        <v>2</v>
      </c>
      <c r="K4" s="86">
        <f t="shared" ref="K4:K18" si="0">((I4-G4)/6)^2</f>
        <v>0.1111111111111111</v>
      </c>
      <c r="L4" s="88" t="s">
        <v>33</v>
      </c>
      <c r="M4" s="5"/>
      <c r="N4" s="8"/>
      <c r="O4" s="37">
        <v>0</v>
      </c>
      <c r="P4" s="37"/>
      <c r="Q4" s="37">
        <f>O4+P6</f>
        <v>2</v>
      </c>
      <c r="R4" s="94"/>
      <c r="S4" s="94"/>
      <c r="T4" s="37">
        <f>Q4</f>
        <v>2</v>
      </c>
      <c r="U4" s="37"/>
      <c r="V4" s="37">
        <f>T4+U6</f>
        <v>8</v>
      </c>
      <c r="W4" s="94"/>
      <c r="X4" s="37">
        <f>V4</f>
        <v>8</v>
      </c>
      <c r="Y4" s="37"/>
      <c r="Z4" s="37">
        <f>X4+Y6</f>
        <v>13</v>
      </c>
      <c r="AA4" s="94"/>
      <c r="AB4" s="37">
        <f>Z4</f>
        <v>13</v>
      </c>
      <c r="AC4" s="37"/>
      <c r="AD4" s="37">
        <f>AB4+AC6</f>
        <v>22</v>
      </c>
      <c r="AE4" s="94"/>
      <c r="AF4" s="94"/>
      <c r="AG4" s="94"/>
      <c r="AH4" s="94"/>
      <c r="AI4" s="94"/>
      <c r="AJ4" s="94"/>
      <c r="AK4" s="94"/>
      <c r="AL4" s="94"/>
      <c r="AM4" s="94"/>
      <c r="AN4" s="94"/>
      <c r="AO4" s="94"/>
      <c r="AP4" s="94"/>
      <c r="AQ4" s="94"/>
      <c r="AR4" s="94"/>
      <c r="AS4" s="94"/>
      <c r="AT4" s="94"/>
      <c r="AU4" s="94"/>
      <c r="AV4" s="94"/>
      <c r="AW4" s="95"/>
    </row>
    <row r="5" spans="2:49" x14ac:dyDescent="0.2">
      <c r="B5" s="19" t="s">
        <v>126</v>
      </c>
      <c r="C5" s="19" t="s">
        <v>80</v>
      </c>
      <c r="D5" s="61">
        <v>1</v>
      </c>
      <c r="F5" s="19">
        <v>2</v>
      </c>
      <c r="G5" s="19">
        <v>4</v>
      </c>
      <c r="H5" s="19">
        <v>6</v>
      </c>
      <c r="I5" s="19">
        <v>10</v>
      </c>
      <c r="J5" s="93">
        <f t="shared" ref="J5:J18" si="1">ROUND((G5+4*H5+I5)/6,0)</f>
        <v>6</v>
      </c>
      <c r="K5" s="86">
        <f t="shared" si="0"/>
        <v>1</v>
      </c>
      <c r="L5" s="59"/>
      <c r="M5" s="5"/>
      <c r="N5" s="8"/>
      <c r="O5" s="37">
        <f>O6-O4</f>
        <v>0</v>
      </c>
      <c r="P5" s="119" t="s">
        <v>3</v>
      </c>
      <c r="Q5" s="37">
        <f>Q6-Q4</f>
        <v>0</v>
      </c>
      <c r="R5" s="94"/>
      <c r="S5" s="94"/>
      <c r="T5" s="37">
        <f>T6-T4</f>
        <v>3</v>
      </c>
      <c r="U5" s="96" t="s">
        <v>5</v>
      </c>
      <c r="V5" s="37">
        <f>V6-V4</f>
        <v>3</v>
      </c>
      <c r="W5" s="94"/>
      <c r="X5" s="37">
        <f>X6-X4</f>
        <v>3</v>
      </c>
      <c r="Y5" s="96" t="s">
        <v>9</v>
      </c>
      <c r="Z5" s="37">
        <f>Z6-Z4</f>
        <v>3</v>
      </c>
      <c r="AA5" s="94"/>
      <c r="AB5" s="37">
        <f>AB6-AB4</f>
        <v>3</v>
      </c>
      <c r="AC5" s="96" t="s">
        <v>10</v>
      </c>
      <c r="AD5" s="37">
        <f>AD6-AD4</f>
        <v>3</v>
      </c>
      <c r="AE5" s="94"/>
      <c r="AF5" s="94"/>
      <c r="AG5" s="94"/>
      <c r="AH5" s="94"/>
      <c r="AI5" s="94"/>
      <c r="AJ5" s="94"/>
      <c r="AK5" s="94"/>
      <c r="AL5" s="94"/>
      <c r="AM5" s="94"/>
      <c r="AN5" s="94"/>
      <c r="AO5" s="94"/>
      <c r="AP5" s="94"/>
      <c r="AQ5" s="94"/>
      <c r="AR5" s="37">
        <f>MAX(AP8,AL8)</f>
        <v>34</v>
      </c>
      <c r="AS5" s="37"/>
      <c r="AT5" s="37">
        <f>AR5+AS7</f>
        <v>35</v>
      </c>
      <c r="AU5" s="94"/>
      <c r="AV5" s="94"/>
      <c r="AW5" s="95"/>
    </row>
    <row r="6" spans="2:49" ht="22" x14ac:dyDescent="0.2">
      <c r="B6" s="19" t="s">
        <v>127</v>
      </c>
      <c r="C6" s="19" t="s">
        <v>81</v>
      </c>
      <c r="D6" s="61">
        <v>1</v>
      </c>
      <c r="F6" s="19">
        <v>3</v>
      </c>
      <c r="G6" s="19">
        <v>3</v>
      </c>
      <c r="H6" s="19">
        <v>6</v>
      </c>
      <c r="I6" s="19">
        <v>12</v>
      </c>
      <c r="J6" s="93">
        <f>FLOOR((G6+4*H6+I6)/6,1)</f>
        <v>6</v>
      </c>
      <c r="K6" s="86">
        <f t="shared" si="0"/>
        <v>2.25</v>
      </c>
      <c r="L6" s="88" t="s">
        <v>33</v>
      </c>
      <c r="M6" s="5"/>
      <c r="N6" s="8"/>
      <c r="O6" s="37">
        <f>Q6-P6</f>
        <v>0</v>
      </c>
      <c r="P6" s="37">
        <f>J4</f>
        <v>2</v>
      </c>
      <c r="Q6" s="37">
        <f>MIN(T6,T10,T14)</f>
        <v>2</v>
      </c>
      <c r="R6" s="94"/>
      <c r="S6" s="94"/>
      <c r="T6" s="37">
        <f>V6-U6</f>
        <v>5</v>
      </c>
      <c r="U6" s="37">
        <f>J5</f>
        <v>6</v>
      </c>
      <c r="V6" s="37">
        <f>MIN(AF10,X6)</f>
        <v>11</v>
      </c>
      <c r="W6" s="94"/>
      <c r="X6" s="37">
        <f>Z6-Y6</f>
        <v>11</v>
      </c>
      <c r="Y6" s="37">
        <f>J9</f>
        <v>5</v>
      </c>
      <c r="Z6" s="37">
        <f>AB6</f>
        <v>16</v>
      </c>
      <c r="AA6" s="94"/>
      <c r="AB6" s="37">
        <f>AD6-AC6</f>
        <v>16</v>
      </c>
      <c r="AC6" s="37">
        <f>J10</f>
        <v>9</v>
      </c>
      <c r="AD6" s="37">
        <f>AN10</f>
        <v>25</v>
      </c>
      <c r="AE6" s="94"/>
      <c r="AF6" s="94"/>
      <c r="AG6" s="94"/>
      <c r="AH6" s="94"/>
      <c r="AI6" s="94"/>
      <c r="AJ6" s="94"/>
      <c r="AK6" s="94"/>
      <c r="AL6" s="94"/>
      <c r="AM6" s="94"/>
      <c r="AN6" s="94"/>
      <c r="AO6" s="94"/>
      <c r="AP6" s="94"/>
      <c r="AQ6" s="94"/>
      <c r="AR6" s="37">
        <f>AR7-AR5</f>
        <v>0</v>
      </c>
      <c r="AS6" s="119" t="s">
        <v>144</v>
      </c>
      <c r="AT6" s="37">
        <f>AT7-AT5</f>
        <v>0</v>
      </c>
      <c r="AU6" s="94"/>
      <c r="AV6" s="94"/>
      <c r="AW6" s="95"/>
    </row>
    <row r="7" spans="2:49" ht="21" x14ac:dyDescent="0.2">
      <c r="B7" s="19" t="s">
        <v>128</v>
      </c>
      <c r="C7" s="19" t="s">
        <v>82</v>
      </c>
      <c r="D7" s="61">
        <v>1</v>
      </c>
      <c r="F7" s="19">
        <v>4</v>
      </c>
      <c r="G7" s="19">
        <v>0</v>
      </c>
      <c r="H7" s="19">
        <v>1</v>
      </c>
      <c r="I7" s="19">
        <v>2</v>
      </c>
      <c r="J7" s="93">
        <f>FLOOR((G7+4*H7+I7)/6,1)</f>
        <v>1</v>
      </c>
      <c r="K7" s="86">
        <f t="shared" si="0"/>
        <v>0.1111111111111111</v>
      </c>
      <c r="L7" s="88"/>
      <c r="M7" s="5"/>
      <c r="N7" s="8"/>
      <c r="O7" s="94"/>
      <c r="P7" s="97"/>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37">
        <f>AT7-AS7</f>
        <v>34</v>
      </c>
      <c r="AS7" s="37">
        <v>1</v>
      </c>
      <c r="AT7" s="37">
        <f>AR13</f>
        <v>35</v>
      </c>
      <c r="AU7" s="94"/>
      <c r="AV7" s="94"/>
      <c r="AW7" s="95"/>
    </row>
    <row r="8" spans="2:49" x14ac:dyDescent="0.2">
      <c r="B8" s="104" t="s">
        <v>129</v>
      </c>
      <c r="C8" s="19" t="s">
        <v>83</v>
      </c>
      <c r="D8" s="61">
        <v>4</v>
      </c>
      <c r="F8" s="19">
        <v>5</v>
      </c>
      <c r="G8" s="19">
        <v>6</v>
      </c>
      <c r="H8" s="19">
        <v>10</v>
      </c>
      <c r="I8" s="19">
        <v>16</v>
      </c>
      <c r="J8" s="93">
        <f t="shared" si="1"/>
        <v>10</v>
      </c>
      <c r="K8" s="86">
        <f t="shared" si="0"/>
        <v>2.7777777777777781</v>
      </c>
      <c r="L8" s="59"/>
      <c r="M8" s="5"/>
      <c r="N8" s="8"/>
      <c r="O8" s="94"/>
      <c r="P8" s="94"/>
      <c r="Q8" s="94"/>
      <c r="R8" s="94"/>
      <c r="S8" s="94"/>
      <c r="T8" s="37">
        <f>Q4</f>
        <v>2</v>
      </c>
      <c r="U8" s="37"/>
      <c r="V8" s="37">
        <f>T8+U10</f>
        <v>8</v>
      </c>
      <c r="W8" s="94"/>
      <c r="X8" s="94"/>
      <c r="Y8" s="94"/>
      <c r="Z8" s="94"/>
      <c r="AA8" s="94"/>
      <c r="AB8" s="37">
        <f>V8</f>
        <v>8</v>
      </c>
      <c r="AC8" s="37"/>
      <c r="AD8" s="37">
        <f>AB8+AC10</f>
        <v>15</v>
      </c>
      <c r="AE8" s="94"/>
      <c r="AF8" s="37">
        <f>MAX(AD8,V4)</f>
        <v>15</v>
      </c>
      <c r="AG8" s="37"/>
      <c r="AH8" s="37">
        <f>AF8+AG10</f>
        <v>22</v>
      </c>
      <c r="AI8" s="94"/>
      <c r="AJ8" s="37">
        <f>AH8</f>
        <v>22</v>
      </c>
      <c r="AK8" s="37"/>
      <c r="AL8" s="37">
        <f>AJ8+AK10</f>
        <v>34</v>
      </c>
      <c r="AM8" s="94"/>
      <c r="AN8" s="37">
        <f>MAX(Z12,AD4,AP12)</f>
        <v>22</v>
      </c>
      <c r="AO8" s="37"/>
      <c r="AP8" s="37">
        <f>AN8+AO10</f>
        <v>31</v>
      </c>
      <c r="AQ8" s="94"/>
      <c r="AR8" s="94"/>
      <c r="AS8" s="94"/>
      <c r="AT8" s="94"/>
      <c r="AU8" s="94"/>
      <c r="AV8" s="94"/>
      <c r="AW8" s="95"/>
    </row>
    <row r="9" spans="2:49" x14ac:dyDescent="0.2">
      <c r="B9" s="19" t="s">
        <v>130</v>
      </c>
      <c r="C9" s="19" t="s">
        <v>84</v>
      </c>
      <c r="D9" s="61">
        <v>2</v>
      </c>
      <c r="F9" s="19">
        <v>6</v>
      </c>
      <c r="G9" s="19">
        <v>3</v>
      </c>
      <c r="H9" s="19">
        <v>5</v>
      </c>
      <c r="I9" s="19">
        <v>9</v>
      </c>
      <c r="J9" s="93">
        <f t="shared" si="1"/>
        <v>5</v>
      </c>
      <c r="K9" s="86">
        <f t="shared" si="0"/>
        <v>1</v>
      </c>
      <c r="L9" s="59"/>
      <c r="M9" s="5"/>
      <c r="N9" s="8"/>
      <c r="O9" s="94"/>
      <c r="P9" s="94"/>
      <c r="Q9" s="94"/>
      <c r="R9" s="94"/>
      <c r="S9" s="94"/>
      <c r="T9" s="37">
        <f>T10-T8</f>
        <v>0</v>
      </c>
      <c r="U9" s="96" t="s">
        <v>6</v>
      </c>
      <c r="V9" s="37">
        <f>V10-V8</f>
        <v>0</v>
      </c>
      <c r="W9" s="94"/>
      <c r="X9" s="94"/>
      <c r="Y9" s="94"/>
      <c r="Z9" s="94"/>
      <c r="AA9" s="94"/>
      <c r="AB9" s="37">
        <f>AB10-AB8</f>
        <v>0</v>
      </c>
      <c r="AC9" s="96" t="s">
        <v>11</v>
      </c>
      <c r="AD9" s="37">
        <f>AD10-AD8</f>
        <v>0</v>
      </c>
      <c r="AE9" s="94"/>
      <c r="AF9" s="37">
        <f>AF10-AF8</f>
        <v>0</v>
      </c>
      <c r="AG9" s="96" t="s">
        <v>12</v>
      </c>
      <c r="AH9" s="37">
        <f>AH10-AH8</f>
        <v>0</v>
      </c>
      <c r="AI9" s="94"/>
      <c r="AJ9" s="37">
        <f>AJ10-AJ8</f>
        <v>0</v>
      </c>
      <c r="AK9" s="96" t="s">
        <v>140</v>
      </c>
      <c r="AL9" s="37">
        <f>AL10-AL8</f>
        <v>0</v>
      </c>
      <c r="AM9" s="94"/>
      <c r="AN9" s="37">
        <f>AN10-AN8</f>
        <v>3</v>
      </c>
      <c r="AO9" s="119" t="s">
        <v>143</v>
      </c>
      <c r="AP9" s="37">
        <f>AP10-AP8</f>
        <v>3</v>
      </c>
      <c r="AQ9" s="94"/>
      <c r="AR9" s="94"/>
      <c r="AS9" s="94"/>
      <c r="AT9" s="94"/>
      <c r="AU9" s="94"/>
      <c r="AV9" s="94"/>
      <c r="AW9" s="95"/>
    </row>
    <row r="10" spans="2:49" x14ac:dyDescent="0.2">
      <c r="B10" s="19" t="s">
        <v>131</v>
      </c>
      <c r="C10" s="19" t="s">
        <v>85</v>
      </c>
      <c r="D10" s="61">
        <v>6</v>
      </c>
      <c r="F10" s="19">
        <v>7</v>
      </c>
      <c r="G10" s="19">
        <v>5</v>
      </c>
      <c r="H10" s="19">
        <v>9</v>
      </c>
      <c r="I10" s="19">
        <v>18</v>
      </c>
      <c r="J10" s="93">
        <f>FLOOR((G10+4*H10+I10)/6,1)</f>
        <v>9</v>
      </c>
      <c r="K10" s="86">
        <f t="shared" si="0"/>
        <v>4.6944444444444438</v>
      </c>
      <c r="L10" s="59"/>
      <c r="M10" s="5"/>
      <c r="N10" s="8"/>
      <c r="O10" s="94"/>
      <c r="P10" s="94"/>
      <c r="Q10" s="94"/>
      <c r="R10" s="94"/>
      <c r="S10" s="94"/>
      <c r="T10" s="37">
        <f>V10-U10</f>
        <v>2</v>
      </c>
      <c r="U10" s="37">
        <f>J6</f>
        <v>6</v>
      </c>
      <c r="V10" s="37">
        <f>AB10</f>
        <v>8</v>
      </c>
      <c r="W10" s="94"/>
      <c r="X10" s="94"/>
      <c r="Y10" s="94"/>
      <c r="Z10" s="94"/>
      <c r="AA10" s="94"/>
      <c r="AB10" s="37">
        <f>AD10-AC10</f>
        <v>8</v>
      </c>
      <c r="AC10" s="37">
        <f>J11</f>
        <v>7</v>
      </c>
      <c r="AD10" s="37">
        <f>AF10</f>
        <v>15</v>
      </c>
      <c r="AE10" s="94"/>
      <c r="AF10" s="37">
        <f>AH10-AG10</f>
        <v>15</v>
      </c>
      <c r="AG10" s="37">
        <f>J12</f>
        <v>7</v>
      </c>
      <c r="AH10" s="37">
        <f>AJ10</f>
        <v>22</v>
      </c>
      <c r="AI10" s="94"/>
      <c r="AJ10" s="37">
        <f>AL10-AK10</f>
        <v>22</v>
      </c>
      <c r="AK10" s="37">
        <f>J13</f>
        <v>12</v>
      </c>
      <c r="AL10" s="37">
        <f>AR7</f>
        <v>34</v>
      </c>
      <c r="AM10" s="94"/>
      <c r="AN10" s="37">
        <f>AP10-AO10</f>
        <v>25</v>
      </c>
      <c r="AO10" s="37">
        <f>J16</f>
        <v>9</v>
      </c>
      <c r="AP10" s="37">
        <f>AR7</f>
        <v>34</v>
      </c>
      <c r="AQ10" s="94"/>
      <c r="AR10" s="94"/>
      <c r="AS10" s="94"/>
      <c r="AT10" s="94"/>
      <c r="AU10" s="94"/>
      <c r="AV10" s="94"/>
      <c r="AW10" s="95"/>
    </row>
    <row r="11" spans="2:49" ht="22" x14ac:dyDescent="0.2">
      <c r="B11" s="19" t="s">
        <v>132</v>
      </c>
      <c r="C11" s="19" t="s">
        <v>86</v>
      </c>
      <c r="D11" s="61">
        <v>3</v>
      </c>
      <c r="F11" s="19">
        <v>8</v>
      </c>
      <c r="G11" s="19">
        <v>4</v>
      </c>
      <c r="H11" s="19">
        <v>7</v>
      </c>
      <c r="I11" s="19">
        <v>13</v>
      </c>
      <c r="J11" s="93">
        <f>FLOOR((G11+4*H11+I11)/6,1)</f>
        <v>7</v>
      </c>
      <c r="K11" s="86">
        <f t="shared" si="0"/>
        <v>2.25</v>
      </c>
      <c r="L11" s="88" t="s">
        <v>33</v>
      </c>
      <c r="M11" s="5"/>
      <c r="N11" s="8"/>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37">
        <f>AT5</f>
        <v>35</v>
      </c>
      <c r="AS11" s="37"/>
      <c r="AT11" s="37">
        <f>AR11+AS13</f>
        <v>40</v>
      </c>
      <c r="AU11" s="94"/>
      <c r="AV11" s="94"/>
      <c r="AW11" s="95"/>
    </row>
    <row r="12" spans="2:49" ht="22" x14ac:dyDescent="0.2">
      <c r="B12" s="19" t="s">
        <v>133</v>
      </c>
      <c r="C12" s="19" t="s">
        <v>87</v>
      </c>
      <c r="D12" s="61" t="s">
        <v>77</v>
      </c>
      <c r="F12" s="19">
        <v>9</v>
      </c>
      <c r="G12" s="19">
        <v>4</v>
      </c>
      <c r="H12" s="19">
        <v>7</v>
      </c>
      <c r="I12" s="19">
        <v>11</v>
      </c>
      <c r="J12" s="93">
        <f t="shared" si="1"/>
        <v>7</v>
      </c>
      <c r="K12" s="86">
        <f t="shared" si="0"/>
        <v>1.3611111111111114</v>
      </c>
      <c r="L12" s="88" t="s">
        <v>33</v>
      </c>
      <c r="M12" s="5"/>
      <c r="N12" s="8"/>
      <c r="O12" s="94"/>
      <c r="P12" s="94"/>
      <c r="Q12" s="94"/>
      <c r="R12" s="94"/>
      <c r="S12" s="94"/>
      <c r="T12" s="37">
        <f>Q4</f>
        <v>2</v>
      </c>
      <c r="U12" s="98"/>
      <c r="V12" s="37">
        <f>T12+U14</f>
        <v>3</v>
      </c>
      <c r="W12" s="94"/>
      <c r="X12" s="37">
        <f>V12</f>
        <v>3</v>
      </c>
      <c r="Y12" s="37"/>
      <c r="Z12" s="37">
        <f>X12+Y14</f>
        <v>13</v>
      </c>
      <c r="AA12" s="94"/>
      <c r="AB12" s="94"/>
      <c r="AC12" s="94"/>
      <c r="AD12" s="94"/>
      <c r="AE12" s="94"/>
      <c r="AF12" s="94"/>
      <c r="AG12" s="94"/>
      <c r="AH12" s="94"/>
      <c r="AI12" s="94"/>
      <c r="AJ12" s="37">
        <f>V12</f>
        <v>3</v>
      </c>
      <c r="AK12" s="37"/>
      <c r="AL12" s="37">
        <f>AJ12+AK14</f>
        <v>12</v>
      </c>
      <c r="AM12" s="94"/>
      <c r="AN12" s="37">
        <f>AL12</f>
        <v>12</v>
      </c>
      <c r="AO12" s="37"/>
      <c r="AP12" s="37">
        <f>AN12+AO14</f>
        <v>19</v>
      </c>
      <c r="AQ12" s="94"/>
      <c r="AR12" s="37">
        <f>AR13-AR11</f>
        <v>0</v>
      </c>
      <c r="AS12" s="119" t="s">
        <v>145</v>
      </c>
      <c r="AT12" s="37">
        <f>AT13-AT11</f>
        <v>0</v>
      </c>
      <c r="AU12" s="94"/>
      <c r="AV12" s="94"/>
      <c r="AW12" s="95"/>
    </row>
    <row r="13" spans="2:49" ht="22" x14ac:dyDescent="0.2">
      <c r="B13" s="19" t="s">
        <v>134</v>
      </c>
      <c r="C13" s="19" t="s">
        <v>91</v>
      </c>
      <c r="D13" s="61">
        <v>9</v>
      </c>
      <c r="F13" s="19">
        <v>10</v>
      </c>
      <c r="G13" s="19">
        <v>7</v>
      </c>
      <c r="H13" s="19">
        <v>12</v>
      </c>
      <c r="I13" s="19">
        <v>20</v>
      </c>
      <c r="J13" s="93">
        <f>FLOOR((G13+4*H13+I13)/6,1)</f>
        <v>12</v>
      </c>
      <c r="K13" s="86">
        <f t="shared" si="0"/>
        <v>4.6944444444444438</v>
      </c>
      <c r="L13" s="88" t="s">
        <v>33</v>
      </c>
      <c r="M13" s="5"/>
      <c r="N13" s="8"/>
      <c r="O13" s="94"/>
      <c r="P13" s="94"/>
      <c r="Q13" s="94"/>
      <c r="R13" s="94"/>
      <c r="S13" s="94"/>
      <c r="T13" s="37">
        <f>T14-T12</f>
        <v>6</v>
      </c>
      <c r="U13" s="119" t="s">
        <v>7</v>
      </c>
      <c r="V13" s="37">
        <f>V14-V12</f>
        <v>6</v>
      </c>
      <c r="W13" s="94"/>
      <c r="X13" s="37">
        <f>X14-X12</f>
        <v>12</v>
      </c>
      <c r="Y13" s="96" t="s">
        <v>8</v>
      </c>
      <c r="Z13" s="37">
        <f>Z14-Z12</f>
        <v>12</v>
      </c>
      <c r="AA13" s="94"/>
      <c r="AB13" s="94"/>
      <c r="AC13" s="94"/>
      <c r="AD13" s="94"/>
      <c r="AE13" s="94"/>
      <c r="AF13" s="94"/>
      <c r="AG13" s="94"/>
      <c r="AH13" s="94"/>
      <c r="AI13" s="94"/>
      <c r="AJ13" s="37">
        <f>AJ14-AJ12</f>
        <v>6</v>
      </c>
      <c r="AK13" s="119" t="s">
        <v>141</v>
      </c>
      <c r="AL13" s="37">
        <f>AL14-AL12</f>
        <v>6</v>
      </c>
      <c r="AM13" s="94"/>
      <c r="AN13" s="37">
        <f>AN14-AN12</f>
        <v>6</v>
      </c>
      <c r="AO13" s="119" t="s">
        <v>142</v>
      </c>
      <c r="AP13" s="37">
        <f>AP14-AP12</f>
        <v>6</v>
      </c>
      <c r="AQ13" s="94"/>
      <c r="AR13" s="37">
        <f>AT13-AS13</f>
        <v>35</v>
      </c>
      <c r="AS13" s="37">
        <v>5</v>
      </c>
      <c r="AT13" s="37">
        <f>AT11</f>
        <v>40</v>
      </c>
      <c r="AU13" s="94"/>
      <c r="AV13" s="94"/>
      <c r="AW13" s="95"/>
    </row>
    <row r="14" spans="2:49" ht="21" x14ac:dyDescent="0.2">
      <c r="B14" s="19" t="s">
        <v>135</v>
      </c>
      <c r="C14" s="19" t="s">
        <v>92</v>
      </c>
      <c r="D14" s="61">
        <v>4</v>
      </c>
      <c r="F14" s="19">
        <v>11</v>
      </c>
      <c r="G14" s="19">
        <v>6</v>
      </c>
      <c r="H14" s="19">
        <v>9</v>
      </c>
      <c r="I14" s="19">
        <v>14</v>
      </c>
      <c r="J14" s="93">
        <f t="shared" si="1"/>
        <v>9</v>
      </c>
      <c r="K14" s="86">
        <f t="shared" si="0"/>
        <v>1.7777777777777777</v>
      </c>
      <c r="L14" s="88"/>
      <c r="M14" s="5"/>
      <c r="N14" s="8"/>
      <c r="O14" s="94"/>
      <c r="P14" s="94"/>
      <c r="Q14" s="94"/>
      <c r="R14" s="94"/>
      <c r="S14" s="94"/>
      <c r="T14" s="37">
        <f>V14-U14</f>
        <v>8</v>
      </c>
      <c r="U14" s="37">
        <f>J7</f>
        <v>1</v>
      </c>
      <c r="V14" s="37">
        <f>MIN(AJ14,X14)</f>
        <v>9</v>
      </c>
      <c r="W14" s="94"/>
      <c r="X14" s="37">
        <f>Z14-Y14</f>
        <v>15</v>
      </c>
      <c r="Y14" s="37">
        <f>J8</f>
        <v>10</v>
      </c>
      <c r="Z14" s="37">
        <f>AN10</f>
        <v>25</v>
      </c>
      <c r="AA14" s="94"/>
      <c r="AB14" s="94"/>
      <c r="AC14" s="94"/>
      <c r="AD14" s="94"/>
      <c r="AE14" s="94"/>
      <c r="AF14" s="94"/>
      <c r="AG14" s="94"/>
      <c r="AH14" s="94"/>
      <c r="AI14" s="94"/>
      <c r="AJ14" s="37">
        <f>AL14-AK14</f>
        <v>9</v>
      </c>
      <c r="AK14" s="37">
        <f>J14</f>
        <v>9</v>
      </c>
      <c r="AL14" s="37">
        <f>AN14</f>
        <v>18</v>
      </c>
      <c r="AM14" s="94"/>
      <c r="AN14" s="37">
        <f>AP14-AO14</f>
        <v>18</v>
      </c>
      <c r="AO14" s="37">
        <f>J15</f>
        <v>7</v>
      </c>
      <c r="AP14" s="37">
        <f>AN10</f>
        <v>25</v>
      </c>
      <c r="AQ14" s="94"/>
      <c r="AR14" s="94"/>
      <c r="AS14" s="94"/>
      <c r="AT14" s="94"/>
      <c r="AU14" s="94"/>
      <c r="AV14" s="94"/>
      <c r="AW14" s="95"/>
    </row>
    <row r="15" spans="2:49" ht="21" x14ac:dyDescent="0.2">
      <c r="B15" s="19" t="s">
        <v>136</v>
      </c>
      <c r="C15" s="19" t="s">
        <v>88</v>
      </c>
      <c r="D15" s="61">
        <v>11</v>
      </c>
      <c r="F15" s="19">
        <v>12</v>
      </c>
      <c r="G15" s="19">
        <v>4</v>
      </c>
      <c r="H15" s="19">
        <v>7</v>
      </c>
      <c r="I15" s="19">
        <v>13</v>
      </c>
      <c r="J15" s="93">
        <f>FLOOR((G15+4*H15+I15)/6,1)</f>
        <v>7</v>
      </c>
      <c r="K15" s="86">
        <f t="shared" si="0"/>
        <v>2.25</v>
      </c>
      <c r="L15" s="88"/>
      <c r="N15" s="8"/>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5"/>
    </row>
    <row r="16" spans="2:49" ht="22" thickBot="1" x14ac:dyDescent="0.25">
      <c r="B16" s="19" t="s">
        <v>137</v>
      </c>
      <c r="C16" s="4" t="s">
        <v>89</v>
      </c>
      <c r="D16" s="61" t="s">
        <v>94</v>
      </c>
      <c r="F16" s="19">
        <v>13</v>
      </c>
      <c r="G16" s="19">
        <v>5</v>
      </c>
      <c r="H16" s="19">
        <v>9</v>
      </c>
      <c r="I16" s="19">
        <v>15</v>
      </c>
      <c r="J16" s="93">
        <f t="shared" si="1"/>
        <v>9</v>
      </c>
      <c r="K16" s="86">
        <f t="shared" si="0"/>
        <v>2.7777777777777781</v>
      </c>
      <c r="L16" s="88"/>
      <c r="M16" s="2"/>
      <c r="N16" s="10"/>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100"/>
      <c r="AV16" s="100"/>
      <c r="AW16" s="101"/>
    </row>
    <row r="17" spans="2:48" ht="22" x14ac:dyDescent="0.2">
      <c r="B17" s="19" t="s">
        <v>138</v>
      </c>
      <c r="C17" s="4" t="s">
        <v>90</v>
      </c>
      <c r="D17" s="61" t="s">
        <v>78</v>
      </c>
      <c r="F17" s="19">
        <v>14</v>
      </c>
      <c r="G17" s="19">
        <v>1</v>
      </c>
      <c r="H17" s="19">
        <v>1</v>
      </c>
      <c r="I17" s="19">
        <v>1</v>
      </c>
      <c r="J17" s="93">
        <f t="shared" si="1"/>
        <v>1</v>
      </c>
      <c r="K17" s="86">
        <f t="shared" si="0"/>
        <v>0</v>
      </c>
      <c r="L17" s="88" t="s">
        <v>33</v>
      </c>
      <c r="M17" s="2"/>
      <c r="N17" s="2"/>
      <c r="AU17"/>
      <c r="AV17"/>
    </row>
    <row r="18" spans="2:48" ht="22" x14ac:dyDescent="0.2">
      <c r="B18" s="19" t="s">
        <v>139</v>
      </c>
      <c r="C18" s="4" t="s">
        <v>93</v>
      </c>
      <c r="D18" s="61">
        <v>14</v>
      </c>
      <c r="F18" s="19">
        <v>15</v>
      </c>
      <c r="G18" s="19">
        <v>3</v>
      </c>
      <c r="H18" s="19">
        <v>5</v>
      </c>
      <c r="I18" s="19">
        <v>8</v>
      </c>
      <c r="J18" s="93">
        <f t="shared" si="1"/>
        <v>5</v>
      </c>
      <c r="K18" s="86">
        <f t="shared" si="0"/>
        <v>0.69444444444444453</v>
      </c>
      <c r="L18" s="88" t="s">
        <v>33</v>
      </c>
      <c r="M18" s="3"/>
      <c r="N18" s="3"/>
    </row>
    <row r="19" spans="2:48" x14ac:dyDescent="0.2">
      <c r="C19" s="54"/>
      <c r="D19" s="62"/>
      <c r="F19" s="3"/>
      <c r="G19" s="3"/>
      <c r="H19" s="3"/>
      <c r="I19" s="3"/>
      <c r="J19" s="5"/>
      <c r="K19" s="5"/>
      <c r="L19" s="5"/>
      <c r="M19" s="3"/>
      <c r="N19" s="3"/>
      <c r="S19" s="90"/>
      <c r="T19" s="91"/>
      <c r="U19" s="90"/>
      <c r="V19" s="91"/>
      <c r="W19" s="90"/>
      <c r="X19" s="90"/>
      <c r="Y19" s="90"/>
      <c r="Z19" s="90"/>
    </row>
    <row r="20" spans="2:48" x14ac:dyDescent="0.2">
      <c r="D20" s="62"/>
      <c r="F20" s="3"/>
      <c r="G20" s="3"/>
      <c r="H20" s="3"/>
      <c r="I20" s="3"/>
      <c r="J20" s="5"/>
      <c r="K20" s="5"/>
      <c r="L20" s="5"/>
      <c r="M20" s="3"/>
      <c r="N20" s="3"/>
      <c r="S20" s="89"/>
      <c r="T20" s="92"/>
      <c r="U20" s="89"/>
      <c r="V20" s="92"/>
      <c r="W20" s="89"/>
      <c r="X20" s="89"/>
      <c r="Y20" s="89"/>
      <c r="Z20" s="89"/>
    </row>
    <row r="21" spans="2:48" x14ac:dyDescent="0.2">
      <c r="D21" s="62"/>
      <c r="F21" s="3"/>
      <c r="G21" s="3"/>
      <c r="H21" s="3"/>
      <c r="I21" s="3"/>
      <c r="J21" s="5"/>
      <c r="K21" s="5"/>
      <c r="L21" s="5"/>
      <c r="M21" s="3"/>
      <c r="N21" s="3"/>
      <c r="S21" s="89"/>
      <c r="T21" s="92"/>
      <c r="U21" s="89"/>
      <c r="V21" s="92"/>
      <c r="W21" s="89"/>
      <c r="X21" s="89"/>
      <c r="Y21" s="89"/>
      <c r="Z21" s="89"/>
    </row>
    <row r="22" spans="2:48" x14ac:dyDescent="0.2">
      <c r="D22" s="62"/>
      <c r="F22" s="3"/>
      <c r="G22" s="3"/>
      <c r="H22" s="3"/>
      <c r="I22" s="3"/>
      <c r="J22" s="5"/>
      <c r="K22" s="5"/>
      <c r="L22" s="5"/>
      <c r="M22" s="3"/>
      <c r="N22" s="3"/>
      <c r="S22" s="89"/>
      <c r="T22" s="92"/>
      <c r="U22" s="89"/>
      <c r="V22" s="92"/>
      <c r="W22" s="89"/>
      <c r="X22" s="89"/>
      <c r="Y22" s="89"/>
      <c r="Z22" s="89"/>
    </row>
    <row r="23" spans="2:48" x14ac:dyDescent="0.2">
      <c r="D23" s="62"/>
      <c r="F23" s="3"/>
      <c r="G23" s="3"/>
      <c r="H23" s="3"/>
      <c r="I23" s="3"/>
      <c r="J23" s="5"/>
      <c r="K23" s="5"/>
      <c r="L23" s="5"/>
      <c r="M23" s="3"/>
      <c r="N23" s="3"/>
      <c r="S23" s="89"/>
      <c r="T23" s="92"/>
      <c r="U23" s="89"/>
      <c r="V23" s="92"/>
      <c r="W23" s="89"/>
      <c r="X23" s="89"/>
      <c r="Y23" s="89"/>
      <c r="Z23" s="89"/>
    </row>
    <row r="24" spans="2:48" ht="16" thickBot="1" x14ac:dyDescent="0.25">
      <c r="B24" s="3"/>
      <c r="C24" s="54"/>
      <c r="D24" s="3"/>
      <c r="F24" s="3"/>
      <c r="G24" s="3"/>
      <c r="H24" s="3"/>
      <c r="I24" s="3"/>
      <c r="J24" s="5"/>
      <c r="K24" s="5"/>
      <c r="L24" s="5"/>
      <c r="M24" s="3"/>
      <c r="N24" s="3"/>
      <c r="S24" s="89"/>
      <c r="T24" s="92"/>
      <c r="U24" s="89"/>
      <c r="V24" s="92"/>
      <c r="W24" s="89"/>
      <c r="X24" s="89"/>
      <c r="Y24" s="89"/>
      <c r="Z24" s="89"/>
    </row>
    <row r="25" spans="2:48" x14ac:dyDescent="0.2">
      <c r="B25" s="3"/>
      <c r="C25" s="54"/>
      <c r="D25" s="3"/>
      <c r="F25" s="3"/>
      <c r="G25" s="3"/>
      <c r="H25" s="69" t="s">
        <v>96</v>
      </c>
      <c r="I25" s="70" t="s">
        <v>97</v>
      </c>
      <c r="J25" s="5"/>
      <c r="K25" s="5"/>
      <c r="L25" s="5"/>
      <c r="M25" s="3"/>
      <c r="N25" s="3"/>
      <c r="S25" s="89"/>
      <c r="T25" s="92"/>
      <c r="U25" s="89"/>
      <c r="V25" s="92"/>
      <c r="W25" s="89"/>
      <c r="X25" s="89"/>
      <c r="Y25" s="89"/>
      <c r="Z25" s="89"/>
    </row>
    <row r="26" spans="2:48" x14ac:dyDescent="0.2">
      <c r="H26" s="71">
        <v>44</v>
      </c>
      <c r="I26" s="72">
        <f>_xlfn.NORM.DIST($K$39,H26,$C$38,TRUE)</f>
        <v>0.61664493201517978</v>
      </c>
      <c r="M26" s="3"/>
      <c r="N26" s="3"/>
      <c r="S26" s="89"/>
      <c r="T26" s="92"/>
      <c r="U26" s="89"/>
      <c r="V26" s="92"/>
      <c r="W26" s="89"/>
      <c r="X26" s="89"/>
      <c r="Y26" s="89"/>
      <c r="Z26" s="89"/>
    </row>
    <row r="27" spans="2:48" x14ac:dyDescent="0.2">
      <c r="B27" s="63" t="s">
        <v>95</v>
      </c>
      <c r="C27" s="63" t="s">
        <v>18</v>
      </c>
      <c r="D27" s="63" t="s">
        <v>72</v>
      </c>
      <c r="E27" s="63" t="s">
        <v>17</v>
      </c>
      <c r="H27" s="71">
        <v>43</v>
      </c>
      <c r="I27" s="72">
        <f t="shared" ref="I27:I29" si="2">_xlfn.NORM.DIST($K$39,H27,$C$38,TRUE)</f>
        <v>0.72353047991956965</v>
      </c>
      <c r="K27" s="2"/>
      <c r="L27" s="2"/>
      <c r="M27" s="3"/>
      <c r="N27" s="3"/>
      <c r="S27" s="89"/>
      <c r="T27" s="92"/>
      <c r="U27" s="89"/>
      <c r="V27" s="92"/>
      <c r="W27" s="89"/>
      <c r="X27" s="89"/>
      <c r="Y27" s="89"/>
      <c r="Z27" s="89"/>
    </row>
    <row r="28" spans="2:48" x14ac:dyDescent="0.2">
      <c r="B28" s="19">
        <v>1</v>
      </c>
      <c r="C28" s="19" t="s">
        <v>79</v>
      </c>
      <c r="D28" s="60">
        <f>VLOOKUP(C28,C4:J18,8,0)</f>
        <v>2</v>
      </c>
      <c r="E28" s="59">
        <f>VLOOKUP(C28,C4:K18,9,0)</f>
        <v>0.1111111111111111</v>
      </c>
      <c r="F28" s="3"/>
      <c r="G28" s="3"/>
      <c r="H28" s="71">
        <v>42</v>
      </c>
      <c r="I28" s="72">
        <f t="shared" si="2"/>
        <v>0.81327852545009782</v>
      </c>
      <c r="J28" s="3"/>
      <c r="K28" s="2"/>
      <c r="L28" s="2"/>
      <c r="M28" s="3"/>
      <c r="N28" s="3"/>
      <c r="S28" s="89"/>
      <c r="T28" s="92"/>
      <c r="U28" s="89"/>
      <c r="V28" s="92"/>
      <c r="W28" s="89"/>
      <c r="X28" s="89"/>
      <c r="Y28" s="89"/>
      <c r="Z28" s="89"/>
    </row>
    <row r="29" spans="2:48" x14ac:dyDescent="0.2">
      <c r="B29" s="19">
        <v>3</v>
      </c>
      <c r="C29" s="19" t="s">
        <v>81</v>
      </c>
      <c r="D29" s="60">
        <f>VLOOKUP(C29,C5:J19,8,0)</f>
        <v>6</v>
      </c>
      <c r="E29" s="59">
        <f>VLOOKUP(C29,C5:K19,9,0)</f>
        <v>2.25</v>
      </c>
      <c r="F29" s="3"/>
      <c r="G29" s="3"/>
      <c r="H29" s="71">
        <v>41</v>
      </c>
      <c r="I29" s="72">
        <f t="shared" si="2"/>
        <v>0.88233167314510141</v>
      </c>
      <c r="J29" s="3"/>
      <c r="K29" s="3"/>
      <c r="L29" s="3"/>
      <c r="M29" s="3"/>
      <c r="N29" s="3"/>
      <c r="S29" s="89"/>
      <c r="T29" s="92"/>
      <c r="U29" s="89"/>
      <c r="V29" s="92"/>
      <c r="W29" s="89"/>
      <c r="X29" s="89"/>
      <c r="Y29" s="89"/>
      <c r="Z29" s="89"/>
    </row>
    <row r="30" spans="2:48" x14ac:dyDescent="0.2">
      <c r="B30" s="19">
        <v>8</v>
      </c>
      <c r="C30" s="19" t="s">
        <v>86</v>
      </c>
      <c r="D30" s="60">
        <f>VLOOKUP(C30,C6:J25,8,0)</f>
        <v>7</v>
      </c>
      <c r="E30" s="59">
        <f>VLOOKUP(C30,C6:K25,9,0)</f>
        <v>2.25</v>
      </c>
      <c r="F30" s="3"/>
      <c r="G30" s="3"/>
      <c r="H30" s="71">
        <v>40</v>
      </c>
      <c r="I30" s="72">
        <f>_xlfn.NORM.DIST($K$39,H30,$C$38,TRUE)</f>
        <v>0.9310165176123496</v>
      </c>
      <c r="J30" s="3"/>
      <c r="K30" s="3"/>
      <c r="L30" s="3"/>
      <c r="M30" s="3"/>
      <c r="N30" s="3"/>
      <c r="S30" s="89"/>
      <c r="T30" s="92"/>
      <c r="U30" s="89"/>
      <c r="V30" s="92"/>
      <c r="W30" s="89"/>
      <c r="X30" s="89"/>
      <c r="Y30" s="89"/>
      <c r="Z30" s="89"/>
    </row>
    <row r="31" spans="2:48" x14ac:dyDescent="0.2">
      <c r="B31" s="19">
        <v>9</v>
      </c>
      <c r="C31" s="19" t="s">
        <v>87</v>
      </c>
      <c r="D31" s="60">
        <f>VLOOKUP(C31,C7:J26,8,0)</f>
        <v>7</v>
      </c>
      <c r="E31" s="59">
        <f>VLOOKUP(C31,C7:K26,9,0)</f>
        <v>1.3611111111111114</v>
      </c>
      <c r="F31" s="3"/>
      <c r="G31" s="3"/>
      <c r="H31" s="73">
        <v>39</v>
      </c>
      <c r="I31" s="74">
        <f>_xlfn.NORM.DIST($K$39,H31,$C$38,TRUE)</f>
        <v>0.96246901008930186</v>
      </c>
      <c r="J31" s="3"/>
      <c r="K31" s="3"/>
      <c r="L31" s="3"/>
      <c r="M31" s="3"/>
      <c r="N31" s="3"/>
      <c r="S31" s="89"/>
      <c r="T31" s="92"/>
      <c r="U31" s="89"/>
      <c r="V31" s="92"/>
      <c r="W31" s="89"/>
      <c r="X31" s="89"/>
      <c r="Y31" s="89"/>
      <c r="Z31" s="89"/>
    </row>
    <row r="32" spans="2:48" x14ac:dyDescent="0.2">
      <c r="B32" s="19">
        <v>10</v>
      </c>
      <c r="C32" s="19" t="s">
        <v>91</v>
      </c>
      <c r="D32" s="60">
        <f>VLOOKUP(C32,C8:J27,8,0)</f>
        <v>12</v>
      </c>
      <c r="E32" s="59">
        <f>VLOOKUP(C32,C8:K27,9,0)</f>
        <v>4.6944444444444438</v>
      </c>
      <c r="F32" s="3"/>
      <c r="G32" s="3"/>
      <c r="H32" s="71">
        <v>38</v>
      </c>
      <c r="I32" s="72">
        <f>_xlfn.NORM.DIST($K$39,H32,$C$38,TRUE)</f>
        <v>0.98108843489322028</v>
      </c>
      <c r="J32" s="3"/>
      <c r="K32" s="3"/>
      <c r="L32" s="3"/>
      <c r="M32" s="3"/>
      <c r="N32" s="3"/>
      <c r="S32" s="89"/>
      <c r="T32" s="92"/>
      <c r="U32" s="89"/>
      <c r="V32" s="92"/>
      <c r="W32" s="89"/>
      <c r="X32" s="89"/>
      <c r="Y32" s="89"/>
      <c r="Z32" s="89"/>
    </row>
    <row r="33" spans="2:26" ht="16" thickBot="1" x14ac:dyDescent="0.25">
      <c r="B33" s="19">
        <v>14</v>
      </c>
      <c r="C33" s="19" t="s">
        <v>90</v>
      </c>
      <c r="D33" s="60">
        <f>VLOOKUP(C33,C9:J28,8,0)</f>
        <v>1</v>
      </c>
      <c r="E33" s="59">
        <f>VLOOKUP(C33,C9:K28,9,0)</f>
        <v>0</v>
      </c>
      <c r="F33" s="3"/>
      <c r="G33" s="3"/>
      <c r="H33" s="75">
        <v>36</v>
      </c>
      <c r="I33" s="76">
        <f>_xlfn.NORM.DIST($K$39,H33,$C$38,TRUE)</f>
        <v>0.99620888489949122</v>
      </c>
      <c r="J33" s="3"/>
      <c r="K33" s="3"/>
      <c r="L33" s="3"/>
      <c r="M33" s="3"/>
      <c r="N33" s="3"/>
      <c r="S33" s="89"/>
      <c r="T33" s="92"/>
      <c r="U33" s="89"/>
      <c r="V33" s="92"/>
      <c r="W33" s="89"/>
      <c r="X33" s="89"/>
      <c r="Y33" s="89"/>
      <c r="Z33" s="89"/>
    </row>
    <row r="34" spans="2:26" x14ac:dyDescent="0.2">
      <c r="B34" s="19">
        <v>15</v>
      </c>
      <c r="C34" s="19" t="s">
        <v>93</v>
      </c>
      <c r="D34" s="60">
        <f>VLOOKUP(C34,C10:J29,8,0)</f>
        <v>5</v>
      </c>
      <c r="E34" s="59">
        <f>VLOOKUP(C34,C10:K29,9,0)</f>
        <v>0.69444444444444453</v>
      </c>
      <c r="F34" s="3"/>
      <c r="G34" s="3"/>
      <c r="H34" s="77"/>
      <c r="I34" s="78"/>
      <c r="J34" s="3"/>
      <c r="K34" s="3"/>
      <c r="L34" s="3"/>
      <c r="M34" s="3"/>
      <c r="N34" s="3"/>
      <c r="S34" s="89"/>
      <c r="T34" s="92"/>
      <c r="U34" s="89"/>
      <c r="V34" s="92"/>
      <c r="W34" s="89"/>
      <c r="X34" s="89"/>
      <c r="Y34" s="89"/>
      <c r="Z34" s="89"/>
    </row>
    <row r="35" spans="2:26" ht="56.25" customHeight="1" x14ac:dyDescent="0.2">
      <c r="B35" s="19"/>
      <c r="C35" s="38" t="s">
        <v>74</v>
      </c>
      <c r="D35" s="64">
        <f>SUM(D28:D34)</f>
        <v>40</v>
      </c>
      <c r="E35" s="64">
        <f>SUM(E28:E34)</f>
        <v>11.361111111111111</v>
      </c>
      <c r="F35" s="3"/>
      <c r="G35" s="3"/>
      <c r="H35" s="77"/>
      <c r="I35" s="78"/>
      <c r="J35" s="3"/>
      <c r="K35" s="3"/>
      <c r="L35" s="3"/>
      <c r="S35" s="89"/>
      <c r="T35" s="92"/>
      <c r="U35" s="89"/>
      <c r="V35" s="92"/>
      <c r="W35" s="89"/>
      <c r="X35" s="89"/>
      <c r="Y35" s="89"/>
      <c r="Z35" s="89"/>
    </row>
    <row r="36" spans="2:26" x14ac:dyDescent="0.2">
      <c r="F36" s="3"/>
      <c r="G36" s="3"/>
      <c r="H36" s="77"/>
      <c r="I36" s="78"/>
      <c r="J36" s="3"/>
      <c r="K36" s="3"/>
      <c r="L36" s="3"/>
      <c r="S36" s="89"/>
      <c r="T36" s="92"/>
      <c r="U36" s="89"/>
      <c r="V36" s="92"/>
      <c r="W36" s="89"/>
      <c r="X36" s="89"/>
      <c r="Y36" s="89"/>
      <c r="Z36" s="89"/>
    </row>
    <row r="37" spans="2:26" ht="30" x14ac:dyDescent="0.2">
      <c r="B37" s="39" t="s">
        <v>20</v>
      </c>
      <c r="C37" s="44">
        <f>D35</f>
        <v>40</v>
      </c>
      <c r="D37" s="42"/>
      <c r="F37" s="3"/>
      <c r="G37" s="3"/>
      <c r="H37" s="3"/>
      <c r="I37" s="3"/>
      <c r="J37" s="3"/>
      <c r="K37" s="3"/>
      <c r="L37" s="3"/>
      <c r="S37" s="89"/>
      <c r="T37" s="92"/>
      <c r="U37" s="89"/>
      <c r="V37" s="92"/>
      <c r="W37" s="89"/>
      <c r="X37" s="89"/>
      <c r="Y37" s="89"/>
      <c r="Z37" s="89"/>
    </row>
    <row r="38" spans="2:26" ht="59.25" customHeight="1" thickBot="1" x14ac:dyDescent="0.25">
      <c r="B38" s="40" t="s">
        <v>19</v>
      </c>
      <c r="C38" s="45">
        <f>SQRT(E35)</f>
        <v>3.3706247360261141</v>
      </c>
      <c r="D38" s="42"/>
      <c r="E38" s="42"/>
      <c r="F38" s="34"/>
      <c r="G38" s="3"/>
      <c r="H38" s="3"/>
      <c r="I38" s="3"/>
      <c r="J38" s="3"/>
      <c r="K38" s="3"/>
      <c r="L38" s="3"/>
      <c r="S38" s="89"/>
      <c r="T38" s="92"/>
      <c r="U38" s="89"/>
      <c r="V38" s="92"/>
      <c r="W38" s="89"/>
      <c r="X38" s="89"/>
      <c r="Y38" s="89"/>
      <c r="Z38" s="89"/>
    </row>
    <row r="39" spans="2:26" ht="24.75" customHeight="1" thickBot="1" x14ac:dyDescent="0.25">
      <c r="B39" s="42"/>
      <c r="C39" s="43"/>
      <c r="D39" s="42"/>
      <c r="E39" s="42"/>
      <c r="F39" s="3"/>
      <c r="G39" s="130" t="s">
        <v>73</v>
      </c>
      <c r="H39" s="131"/>
      <c r="I39" s="131"/>
      <c r="J39" s="131"/>
      <c r="K39" s="79">
        <v>45</v>
      </c>
      <c r="L39" s="84"/>
    </row>
    <row r="40" spans="2:26" ht="30" x14ac:dyDescent="0.2">
      <c r="B40" s="41" t="s">
        <v>23</v>
      </c>
      <c r="C40" s="65">
        <f>_xlfn.NORM.DIST(K39,C37,C38,TRUE)</f>
        <v>0.9310165176123496</v>
      </c>
      <c r="D40" s="68"/>
      <c r="E40" s="42"/>
      <c r="F40" s="3"/>
      <c r="G40" s="3"/>
      <c r="H40" s="3"/>
      <c r="I40" s="3"/>
      <c r="J40" s="3"/>
      <c r="K40" s="3"/>
      <c r="L40" s="3"/>
    </row>
    <row r="41" spans="2:26" ht="32.5" customHeight="1" x14ac:dyDescent="0.2">
      <c r="B41" s="42"/>
      <c r="C41" s="43"/>
      <c r="D41" s="42"/>
      <c r="E41" s="68"/>
    </row>
    <row r="42" spans="2:26" ht="26" x14ac:dyDescent="0.3">
      <c r="B42" s="41" t="s">
        <v>21</v>
      </c>
      <c r="C42" s="66">
        <v>0.95</v>
      </c>
      <c r="D42" s="42"/>
      <c r="E42" s="42"/>
    </row>
    <row r="43" spans="2:26" ht="30" x14ac:dyDescent="0.2">
      <c r="B43" s="41" t="s">
        <v>22</v>
      </c>
      <c r="C43" s="67">
        <f>H31</f>
        <v>39</v>
      </c>
      <c r="D43" s="68"/>
      <c r="E43" s="42"/>
    </row>
    <row r="44" spans="2:26" ht="27.5" customHeight="1" x14ac:dyDescent="0.2">
      <c r="E44" s="68"/>
    </row>
    <row r="46" spans="2:26" ht="26" x14ac:dyDescent="0.3">
      <c r="C46" s="46"/>
    </row>
    <row r="54" spans="5:5" x14ac:dyDescent="0.2">
      <c r="E54" s="52"/>
    </row>
    <row r="55" spans="5:5" x14ac:dyDescent="0.2">
      <c r="E55" s="52"/>
    </row>
    <row r="56" spans="5:5" x14ac:dyDescent="0.2">
      <c r="E56" s="52"/>
    </row>
    <row r="57" spans="5:5" x14ac:dyDescent="0.2">
      <c r="E57" s="52"/>
    </row>
    <row r="58" spans="5:5" x14ac:dyDescent="0.2">
      <c r="E58" s="52"/>
    </row>
    <row r="59" spans="5:5" x14ac:dyDescent="0.2">
      <c r="E59" s="52"/>
    </row>
    <row r="60" spans="5:5" x14ac:dyDescent="0.2">
      <c r="E60" s="52"/>
    </row>
    <row r="61" spans="5:5" x14ac:dyDescent="0.2">
      <c r="E61" s="52"/>
    </row>
    <row r="62" spans="5:5" x14ac:dyDescent="0.2">
      <c r="E62" s="52"/>
    </row>
    <row r="63" spans="5:5" x14ac:dyDescent="0.2">
      <c r="E63" s="53"/>
    </row>
    <row r="64" spans="5:5" x14ac:dyDescent="0.2">
      <c r="E64" s="52"/>
    </row>
    <row r="65" spans="5:5" x14ac:dyDescent="0.2">
      <c r="E65" s="52"/>
    </row>
    <row r="66" spans="5:5" x14ac:dyDescent="0.2">
      <c r="E66" s="52"/>
    </row>
    <row r="67" spans="5:5" x14ac:dyDescent="0.2">
      <c r="E67" s="52"/>
    </row>
    <row r="68" spans="5:5" x14ac:dyDescent="0.2">
      <c r="E68" s="52"/>
    </row>
    <row r="69" spans="5:5" x14ac:dyDescent="0.2">
      <c r="E69" s="52"/>
    </row>
    <row r="70" spans="5:5" x14ac:dyDescent="0.2">
      <c r="E70" s="52"/>
    </row>
    <row r="71" spans="5:5" x14ac:dyDescent="0.2">
      <c r="E71" s="52"/>
    </row>
    <row r="72" spans="5:5" x14ac:dyDescent="0.2">
      <c r="E72" s="52"/>
    </row>
    <row r="73" spans="5:5" x14ac:dyDescent="0.2">
      <c r="E73" s="52"/>
    </row>
  </sheetData>
  <mergeCells count="1">
    <mergeCell ref="G39:J39"/>
  </mergeCells>
  <conditionalFormatting sqref="O5">
    <cfRule type="cellIs" dxfId="55" priority="14" operator="equal">
      <formula>0</formula>
    </cfRule>
  </conditionalFormatting>
  <conditionalFormatting sqref="T5">
    <cfRule type="cellIs" dxfId="54" priority="12" operator="equal">
      <formula>0</formula>
    </cfRule>
  </conditionalFormatting>
  <conditionalFormatting sqref="T9">
    <cfRule type="cellIs" dxfId="53" priority="13" operator="equal">
      <formula>0</formula>
    </cfRule>
  </conditionalFormatting>
  <conditionalFormatting sqref="T13">
    <cfRule type="cellIs" dxfId="52" priority="11" operator="equal">
      <formula>0</formula>
    </cfRule>
  </conditionalFormatting>
  <conditionalFormatting sqref="X5">
    <cfRule type="cellIs" dxfId="51" priority="10" operator="equal">
      <formula>0</formula>
    </cfRule>
  </conditionalFormatting>
  <conditionalFormatting sqref="AB5">
    <cfRule type="cellIs" dxfId="50" priority="9" operator="equal">
      <formula>0</formula>
    </cfRule>
  </conditionalFormatting>
  <conditionalFormatting sqref="AB9">
    <cfRule type="cellIs" dxfId="49" priority="8" operator="equal">
      <formula>0</formula>
    </cfRule>
  </conditionalFormatting>
  <conditionalFormatting sqref="AF9">
    <cfRule type="cellIs" dxfId="48" priority="7" operator="equal">
      <formula>0</formula>
    </cfRule>
  </conditionalFormatting>
  <conditionalFormatting sqref="AJ9">
    <cfRule type="cellIs" dxfId="47" priority="6" operator="equal">
      <formula>0</formula>
    </cfRule>
  </conditionalFormatting>
  <conditionalFormatting sqref="AJ13">
    <cfRule type="cellIs" dxfId="46" priority="4" operator="equal">
      <formula>0</formula>
    </cfRule>
  </conditionalFormatting>
  <conditionalFormatting sqref="AN9">
    <cfRule type="cellIs" dxfId="45" priority="5" operator="equal">
      <formula>0</formula>
    </cfRule>
  </conditionalFormatting>
  <conditionalFormatting sqref="AN13">
    <cfRule type="cellIs" dxfId="44" priority="3" operator="equal">
      <formula>0</formula>
    </cfRule>
  </conditionalFormatting>
  <conditionalFormatting sqref="AR6">
    <cfRule type="cellIs" dxfId="43" priority="1" operator="equal">
      <formula>0</formula>
    </cfRule>
  </conditionalFormatting>
  <conditionalFormatting sqref="AR12">
    <cfRule type="cellIs" dxfId="42" priority="2" operator="equal">
      <formula>0</formula>
    </cfRule>
  </conditionalFormatting>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5AA5-2118-0E4F-947F-F292CD0715B1}">
  <dimension ref="A1:AK85"/>
  <sheetViews>
    <sheetView showGridLines="0" topLeftCell="A12" zoomScale="140" zoomScaleNormal="167" workbookViewId="0">
      <selection activeCell="AE63" sqref="AE63"/>
    </sheetView>
  </sheetViews>
  <sheetFormatPr baseColWidth="10" defaultColWidth="8.83203125" defaultRowHeight="15" x14ac:dyDescent="0.2"/>
  <cols>
    <col min="1" max="2" width="3.1640625" style="80" customWidth="1"/>
    <col min="3" max="5" width="5.83203125" style="80" bestFit="1" customWidth="1"/>
    <col min="6" max="10" width="3.1640625" style="80" customWidth="1"/>
    <col min="11" max="11" width="8.83203125" style="80" customWidth="1"/>
    <col min="12" max="12" width="11.1640625" style="80" customWidth="1"/>
    <col min="13" max="13" width="10.1640625" style="80" customWidth="1"/>
    <col min="14" max="25" width="3.1640625" style="80" customWidth="1"/>
    <col min="26" max="26" width="9.83203125" customWidth="1"/>
    <col min="27" max="27" width="10.5" style="80" bestFit="1" customWidth="1"/>
    <col min="28" max="28" width="14.5" style="80" customWidth="1"/>
    <col min="29" max="29" width="11.1640625" style="80" customWidth="1"/>
    <col min="30" max="30" width="14.6640625" style="80" customWidth="1"/>
    <col min="31" max="31" width="11.6640625" style="80" customWidth="1"/>
    <col min="32" max="32" width="5.5" bestFit="1" customWidth="1"/>
    <col min="33" max="33" width="11.1640625" bestFit="1" customWidth="1"/>
    <col min="34" max="35" width="9.1640625" bestFit="1" customWidth="1"/>
    <col min="36" max="38" width="3.1640625" customWidth="1"/>
    <col min="39" max="39" width="5.33203125" bestFit="1" customWidth="1"/>
    <col min="40" max="40" width="10.5" bestFit="1" customWidth="1"/>
    <col min="41" max="41" width="5.33203125" bestFit="1" customWidth="1"/>
    <col min="42" max="42" width="9.5" bestFit="1" customWidth="1"/>
    <col min="43" max="44" width="3.1640625" customWidth="1"/>
    <col min="45" max="45" width="3.6640625" bestFit="1" customWidth="1"/>
    <col min="46" max="46" width="3.1640625" customWidth="1"/>
    <col min="47" max="47" width="10.33203125" customWidth="1"/>
    <col min="48" max="48" width="9.5" customWidth="1"/>
    <col min="49" max="49" width="5.6640625" bestFit="1" customWidth="1"/>
    <col min="50" max="50" width="8.1640625" bestFit="1" customWidth="1"/>
    <col min="51" max="51" width="8.6640625" bestFit="1" customWidth="1"/>
    <col min="52" max="250" width="3.1640625" customWidth="1"/>
  </cols>
  <sheetData>
    <row r="1" spans="2:37" ht="16" thickBot="1" x14ac:dyDescent="0.25">
      <c r="B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2:37" x14ac:dyDescent="0.2">
      <c r="B2" s="7"/>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6"/>
    </row>
    <row r="3" spans="2:37" x14ac:dyDescent="0.2">
      <c r="B3" s="8"/>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9"/>
    </row>
    <row r="4" spans="2:37" x14ac:dyDescent="0.2">
      <c r="B4" s="8"/>
      <c r="C4" s="37">
        <v>0</v>
      </c>
      <c r="D4" s="37"/>
      <c r="E4" s="37">
        <f>C4+D6</f>
        <v>2</v>
      </c>
      <c r="F4" s="94"/>
      <c r="G4" s="94"/>
      <c r="H4" s="37">
        <f>E4</f>
        <v>2</v>
      </c>
      <c r="I4" s="37"/>
      <c r="J4" s="37">
        <f>H4+I6</f>
        <v>7</v>
      </c>
      <c r="K4" s="94"/>
      <c r="L4" s="37">
        <f>J4</f>
        <v>7</v>
      </c>
      <c r="M4" s="37"/>
      <c r="N4" s="37">
        <f>L4+M6</f>
        <v>11</v>
      </c>
      <c r="O4" s="94"/>
      <c r="P4" s="37">
        <f>N4</f>
        <v>11</v>
      </c>
      <c r="Q4" s="37"/>
      <c r="R4" s="37">
        <f>P4+Q6</f>
        <v>17</v>
      </c>
      <c r="S4" s="94"/>
      <c r="T4" s="94"/>
      <c r="U4" s="94"/>
      <c r="V4" s="94"/>
      <c r="W4" s="94"/>
      <c r="X4" s="94"/>
      <c r="Y4" s="94"/>
      <c r="Z4" s="94"/>
      <c r="AA4" s="94"/>
      <c r="AB4" s="94"/>
      <c r="AC4" s="94"/>
      <c r="AD4" s="94"/>
      <c r="AE4" s="94"/>
      <c r="AF4" s="94"/>
      <c r="AG4" s="94"/>
      <c r="AH4" s="94"/>
      <c r="AI4" s="94"/>
      <c r="AJ4" s="94"/>
      <c r="AK4" s="95"/>
    </row>
    <row r="5" spans="2:37" x14ac:dyDescent="0.2">
      <c r="B5" s="8"/>
      <c r="C5" s="37">
        <f>C6-C4</f>
        <v>0</v>
      </c>
      <c r="D5" s="119" t="s">
        <v>3</v>
      </c>
      <c r="E5" s="37">
        <f>E6-E4</f>
        <v>0</v>
      </c>
      <c r="F5" s="94"/>
      <c r="G5" s="94"/>
      <c r="H5" s="37">
        <f>H6-H4</f>
        <v>1</v>
      </c>
      <c r="I5" s="96" t="s">
        <v>5</v>
      </c>
      <c r="J5" s="37">
        <f>J6-J4</f>
        <v>1</v>
      </c>
      <c r="K5" s="94"/>
      <c r="L5" s="37">
        <f>L6-L4</f>
        <v>1</v>
      </c>
      <c r="M5" s="96" t="s">
        <v>9</v>
      </c>
      <c r="N5" s="37">
        <f>N6-N4</f>
        <v>1</v>
      </c>
      <c r="O5" s="94"/>
      <c r="P5" s="37">
        <f>P6-P4</f>
        <v>1</v>
      </c>
      <c r="Q5" s="96" t="s">
        <v>10</v>
      </c>
      <c r="R5" s="37">
        <f>R6-R4</f>
        <v>1</v>
      </c>
      <c r="S5" s="94"/>
      <c r="T5" s="94"/>
      <c r="U5" s="94"/>
      <c r="V5" s="94"/>
      <c r="W5" s="94"/>
      <c r="X5" s="94"/>
      <c r="Y5" s="94"/>
      <c r="Z5" s="94"/>
      <c r="AA5" s="94"/>
      <c r="AB5" s="94"/>
      <c r="AC5" s="94"/>
      <c r="AD5" s="94"/>
      <c r="AE5" s="94"/>
      <c r="AF5" s="37">
        <f>MAX(AD8,Z8)</f>
        <v>26</v>
      </c>
      <c r="AG5" s="37"/>
      <c r="AH5" s="37">
        <f>AF5+AG7</f>
        <v>27</v>
      </c>
      <c r="AI5" s="94"/>
      <c r="AJ5" s="94"/>
      <c r="AK5" s="95"/>
    </row>
    <row r="6" spans="2:37" x14ac:dyDescent="0.2">
      <c r="B6" s="8"/>
      <c r="C6" s="37">
        <f>E6-D6</f>
        <v>0</v>
      </c>
      <c r="D6" s="37">
        <v>2</v>
      </c>
      <c r="E6" s="37">
        <f>MIN(H6,H10,H14)</f>
        <v>2</v>
      </c>
      <c r="F6" s="94"/>
      <c r="G6" s="94"/>
      <c r="H6" s="37">
        <f>J6-I6</f>
        <v>3</v>
      </c>
      <c r="I6" s="37">
        <v>5</v>
      </c>
      <c r="J6" s="37">
        <f>MIN(T10,L6)</f>
        <v>8</v>
      </c>
      <c r="K6" s="94"/>
      <c r="L6" s="37">
        <f>N6-M6</f>
        <v>8</v>
      </c>
      <c r="M6" s="37">
        <v>4</v>
      </c>
      <c r="N6" s="37">
        <f>P6</f>
        <v>12</v>
      </c>
      <c r="O6" s="94"/>
      <c r="P6" s="37">
        <f>R6-Q6</f>
        <v>12</v>
      </c>
      <c r="Q6" s="37">
        <v>6</v>
      </c>
      <c r="R6" s="37">
        <f>AB10</f>
        <v>18</v>
      </c>
      <c r="S6" s="94"/>
      <c r="T6" s="94"/>
      <c r="U6" s="94"/>
      <c r="V6" s="94"/>
      <c r="W6" s="94"/>
      <c r="X6" s="94"/>
      <c r="Y6" s="94"/>
      <c r="Z6" s="94"/>
      <c r="AA6" s="94"/>
      <c r="AB6" s="94"/>
      <c r="AC6" s="94"/>
      <c r="AD6" s="94"/>
      <c r="AE6" s="94"/>
      <c r="AF6" s="37">
        <f>AF7-AF5</f>
        <v>0</v>
      </c>
      <c r="AG6" s="119" t="s">
        <v>144</v>
      </c>
      <c r="AH6" s="37">
        <f>AH7-AH5</f>
        <v>0</v>
      </c>
      <c r="AI6" s="94"/>
      <c r="AJ6" s="94"/>
      <c r="AK6" s="95"/>
    </row>
    <row r="7" spans="2:37" x14ac:dyDescent="0.2">
      <c r="B7" s="8"/>
      <c r="C7" s="94"/>
      <c r="D7" s="97"/>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37">
        <f>AH7-AG7</f>
        <v>26</v>
      </c>
      <c r="AG7" s="37">
        <v>1</v>
      </c>
      <c r="AH7" s="37">
        <f>AF13</f>
        <v>27</v>
      </c>
      <c r="AI7" s="94"/>
      <c r="AJ7" s="94"/>
      <c r="AK7" s="95"/>
    </row>
    <row r="8" spans="2:37" x14ac:dyDescent="0.2">
      <c r="B8" s="8"/>
      <c r="C8" s="94"/>
      <c r="D8" s="94"/>
      <c r="E8" s="94"/>
      <c r="F8" s="94"/>
      <c r="G8" s="94"/>
      <c r="H8" s="37">
        <f>E4</f>
        <v>2</v>
      </c>
      <c r="I8" s="37"/>
      <c r="J8" s="37">
        <f>H8+I10</f>
        <v>6</v>
      </c>
      <c r="K8" s="94"/>
      <c r="L8" s="94"/>
      <c r="M8" s="94"/>
      <c r="N8" s="94"/>
      <c r="O8" s="94"/>
      <c r="P8" s="37">
        <f>J8</f>
        <v>6</v>
      </c>
      <c r="Q8" s="37"/>
      <c r="R8" s="37">
        <f>P8+Q10</f>
        <v>11</v>
      </c>
      <c r="S8" s="94"/>
      <c r="T8" s="37">
        <f>MAX(R8,J4)</f>
        <v>11</v>
      </c>
      <c r="U8" s="37"/>
      <c r="V8" s="37">
        <f>T8+U10</f>
        <v>17</v>
      </c>
      <c r="W8" s="94"/>
      <c r="X8" s="37">
        <f>V8</f>
        <v>17</v>
      </c>
      <c r="Y8" s="37"/>
      <c r="Z8" s="37">
        <f>X8+Y10</f>
        <v>26</v>
      </c>
      <c r="AA8" s="94"/>
      <c r="AB8" s="37">
        <f>MAX(N12,R4,AD12)</f>
        <v>17</v>
      </c>
      <c r="AC8" s="37"/>
      <c r="AD8" s="37">
        <f>AB8+AC10</f>
        <v>25</v>
      </c>
      <c r="AE8" s="94"/>
      <c r="AF8" s="94"/>
      <c r="AG8" s="94"/>
      <c r="AH8" s="94"/>
      <c r="AI8" s="94"/>
      <c r="AJ8" s="94"/>
      <c r="AK8" s="95"/>
    </row>
    <row r="9" spans="2:37" x14ac:dyDescent="0.2">
      <c r="B9" s="8"/>
      <c r="C9" s="94"/>
      <c r="D9" s="94"/>
      <c r="E9" s="94"/>
      <c r="F9" s="94"/>
      <c r="G9" s="94"/>
      <c r="H9" s="37">
        <f>H10-H8</f>
        <v>0</v>
      </c>
      <c r="I9" s="96" t="s">
        <v>6</v>
      </c>
      <c r="J9" s="37">
        <f>J10-J8</f>
        <v>0</v>
      </c>
      <c r="K9" s="94"/>
      <c r="L9" s="94"/>
      <c r="M9" s="94"/>
      <c r="N9" s="94"/>
      <c r="O9" s="94"/>
      <c r="P9" s="37">
        <f>P10-P8</f>
        <v>0</v>
      </c>
      <c r="Q9" s="96" t="s">
        <v>11</v>
      </c>
      <c r="R9" s="37">
        <f>R10-R8</f>
        <v>0</v>
      </c>
      <c r="S9" s="94"/>
      <c r="T9" s="37">
        <f>T10-T8</f>
        <v>0</v>
      </c>
      <c r="U9" s="96" t="s">
        <v>12</v>
      </c>
      <c r="V9" s="37">
        <f>V10-V8</f>
        <v>0</v>
      </c>
      <c r="W9" s="94"/>
      <c r="X9" s="37">
        <f>X10-X8</f>
        <v>0</v>
      </c>
      <c r="Y9" s="96" t="s">
        <v>140</v>
      </c>
      <c r="Z9" s="37">
        <f>Z10-Z8</f>
        <v>0</v>
      </c>
      <c r="AA9" s="94"/>
      <c r="AB9" s="37">
        <f>AB10-AB8</f>
        <v>1</v>
      </c>
      <c r="AC9" s="119" t="s">
        <v>143</v>
      </c>
      <c r="AD9" s="37">
        <f>AD10-AD8</f>
        <v>1</v>
      </c>
      <c r="AE9" s="94"/>
      <c r="AF9" s="94"/>
      <c r="AG9" s="94"/>
      <c r="AH9" s="94"/>
      <c r="AI9" s="94"/>
      <c r="AJ9" s="94"/>
      <c r="AK9" s="95"/>
    </row>
    <row r="10" spans="2:37" x14ac:dyDescent="0.2">
      <c r="B10" s="8"/>
      <c r="C10" s="94"/>
      <c r="D10" s="94"/>
      <c r="E10" s="94"/>
      <c r="F10" s="94"/>
      <c r="G10" s="94"/>
      <c r="H10" s="37">
        <f>J10-I10</f>
        <v>2</v>
      </c>
      <c r="I10" s="37">
        <v>4</v>
      </c>
      <c r="J10" s="37">
        <f>P10</f>
        <v>6</v>
      </c>
      <c r="K10" s="94"/>
      <c r="L10" s="94"/>
      <c r="M10" s="94"/>
      <c r="N10" s="94"/>
      <c r="O10" s="94"/>
      <c r="P10" s="37">
        <f>R10-Q10</f>
        <v>6</v>
      </c>
      <c r="Q10" s="37">
        <v>5</v>
      </c>
      <c r="R10" s="37">
        <f>T10</f>
        <v>11</v>
      </c>
      <c r="S10" s="94"/>
      <c r="T10" s="37">
        <f>V10-U10</f>
        <v>11</v>
      </c>
      <c r="U10" s="37">
        <v>6</v>
      </c>
      <c r="V10" s="37">
        <f>X10</f>
        <v>17</v>
      </c>
      <c r="W10" s="94"/>
      <c r="X10" s="37">
        <f>Z10-Y10</f>
        <v>17</v>
      </c>
      <c r="Y10" s="37">
        <v>9</v>
      </c>
      <c r="Z10" s="37">
        <f>AF7</f>
        <v>26</v>
      </c>
      <c r="AA10" s="94"/>
      <c r="AB10" s="37">
        <f>AD10-AC10</f>
        <v>18</v>
      </c>
      <c r="AC10" s="37">
        <v>8</v>
      </c>
      <c r="AD10" s="37">
        <f>AF7</f>
        <v>26</v>
      </c>
      <c r="AE10" s="94"/>
      <c r="AF10" s="94"/>
      <c r="AG10" s="94"/>
      <c r="AH10" s="94"/>
      <c r="AI10" s="94"/>
      <c r="AJ10" s="94"/>
      <c r="AK10" s="95"/>
    </row>
    <row r="11" spans="2:37" x14ac:dyDescent="0.2">
      <c r="B11" s="8"/>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37">
        <f>AH5</f>
        <v>27</v>
      </c>
      <c r="AG11" s="37"/>
      <c r="AH11" s="37">
        <f>AF11+AG13</f>
        <v>31</v>
      </c>
      <c r="AI11" s="94"/>
      <c r="AJ11" s="94"/>
      <c r="AK11" s="95"/>
    </row>
    <row r="12" spans="2:37" x14ac:dyDescent="0.2">
      <c r="B12" s="8"/>
      <c r="C12" s="94"/>
      <c r="D12" s="94"/>
      <c r="E12" s="94"/>
      <c r="F12" s="94"/>
      <c r="G12" s="94"/>
      <c r="H12" s="37">
        <f>E4</f>
        <v>2</v>
      </c>
      <c r="I12" s="98"/>
      <c r="J12" s="37">
        <f>H12+I14</f>
        <v>3</v>
      </c>
      <c r="K12" s="94"/>
      <c r="L12" s="37">
        <f>J12</f>
        <v>3</v>
      </c>
      <c r="M12" s="37"/>
      <c r="N12" s="37">
        <f>L12+M14</f>
        <v>13</v>
      </c>
      <c r="O12" s="94"/>
      <c r="P12" s="94"/>
      <c r="Q12" s="94"/>
      <c r="R12" s="94"/>
      <c r="S12" s="94"/>
      <c r="T12" s="94"/>
      <c r="U12" s="94"/>
      <c r="V12" s="94"/>
      <c r="W12" s="94"/>
      <c r="X12" s="37">
        <f>J12</f>
        <v>3</v>
      </c>
      <c r="Y12" s="37"/>
      <c r="Z12" s="37">
        <f>X12+Y14</f>
        <v>11</v>
      </c>
      <c r="AA12" s="94"/>
      <c r="AB12" s="37">
        <f>Z12</f>
        <v>11</v>
      </c>
      <c r="AC12" s="37"/>
      <c r="AD12" s="37">
        <f>AB12+AC14</f>
        <v>16</v>
      </c>
      <c r="AE12" s="94"/>
      <c r="AF12" s="37">
        <f>AF13-AF11</f>
        <v>0</v>
      </c>
      <c r="AG12" s="119" t="s">
        <v>145</v>
      </c>
      <c r="AH12" s="37">
        <f>AH13-AH11</f>
        <v>0</v>
      </c>
      <c r="AI12" s="94"/>
      <c r="AJ12" s="94"/>
      <c r="AK12" s="95"/>
    </row>
    <row r="13" spans="2:37" x14ac:dyDescent="0.2">
      <c r="B13" s="8"/>
      <c r="C13" s="94"/>
      <c r="D13" s="94"/>
      <c r="E13" s="94"/>
      <c r="F13" s="94"/>
      <c r="G13" s="94"/>
      <c r="H13" s="37">
        <f>H14-H12</f>
        <v>2</v>
      </c>
      <c r="I13" s="119" t="s">
        <v>7</v>
      </c>
      <c r="J13" s="37">
        <f>J14-J12</f>
        <v>2</v>
      </c>
      <c r="K13" s="94"/>
      <c r="L13" s="37">
        <f>L14-L12</f>
        <v>5</v>
      </c>
      <c r="M13" s="96" t="s">
        <v>8</v>
      </c>
      <c r="N13" s="37">
        <f>N14-N12</f>
        <v>5</v>
      </c>
      <c r="O13" s="94"/>
      <c r="P13" s="94"/>
      <c r="Q13" s="94"/>
      <c r="R13" s="94"/>
      <c r="S13" s="94"/>
      <c r="T13" s="94"/>
      <c r="U13" s="94"/>
      <c r="V13" s="94"/>
      <c r="W13" s="94"/>
      <c r="X13" s="37">
        <f>X14-X12</f>
        <v>2</v>
      </c>
      <c r="Y13" s="119" t="s">
        <v>141</v>
      </c>
      <c r="Z13" s="37">
        <f>Z14-Z12</f>
        <v>2</v>
      </c>
      <c r="AA13" s="94"/>
      <c r="AB13" s="37">
        <f>AB14-AB12</f>
        <v>2</v>
      </c>
      <c r="AC13" s="119" t="s">
        <v>142</v>
      </c>
      <c r="AD13" s="37">
        <f>AD14-AD12</f>
        <v>2</v>
      </c>
      <c r="AE13" s="94"/>
      <c r="AF13" s="37">
        <f>AH13-AG13</f>
        <v>27</v>
      </c>
      <c r="AG13" s="37">
        <v>4</v>
      </c>
      <c r="AH13" s="37">
        <f>AH11</f>
        <v>31</v>
      </c>
      <c r="AI13" s="94"/>
      <c r="AJ13" s="94"/>
      <c r="AK13" s="95"/>
    </row>
    <row r="14" spans="2:37" x14ac:dyDescent="0.2">
      <c r="B14" s="8"/>
      <c r="C14" s="94"/>
      <c r="D14" s="94"/>
      <c r="E14" s="94"/>
      <c r="F14" s="94"/>
      <c r="G14" s="94"/>
      <c r="H14" s="37">
        <f>J14-I14</f>
        <v>4</v>
      </c>
      <c r="I14" s="124">
        <v>1</v>
      </c>
      <c r="J14" s="37">
        <f>MIN(X14,L14)</f>
        <v>5</v>
      </c>
      <c r="K14" s="94"/>
      <c r="L14" s="37">
        <f>N14-M14</f>
        <v>8</v>
      </c>
      <c r="M14" s="37">
        <v>10</v>
      </c>
      <c r="N14" s="37">
        <f>AB10</f>
        <v>18</v>
      </c>
      <c r="O14" s="94"/>
      <c r="P14" s="94"/>
      <c r="Q14" s="94"/>
      <c r="R14" s="94"/>
      <c r="S14" s="94"/>
      <c r="T14" s="94"/>
      <c r="U14" s="94"/>
      <c r="V14" s="94"/>
      <c r="W14" s="94"/>
      <c r="X14" s="37">
        <f>Z14-Y14</f>
        <v>5</v>
      </c>
      <c r="Y14" s="37">
        <v>8</v>
      </c>
      <c r="Z14" s="37">
        <f>AB14</f>
        <v>13</v>
      </c>
      <c r="AA14" s="94"/>
      <c r="AB14" s="37">
        <f>AD14-AC14</f>
        <v>13</v>
      </c>
      <c r="AC14" s="37">
        <v>5</v>
      </c>
      <c r="AD14" s="37">
        <f>AB10</f>
        <v>18</v>
      </c>
      <c r="AE14" s="94"/>
      <c r="AF14" s="94"/>
      <c r="AG14" s="94"/>
      <c r="AH14" s="94"/>
      <c r="AI14" s="94"/>
      <c r="AJ14" s="94"/>
      <c r="AK14" s="95"/>
    </row>
    <row r="15" spans="2:37" x14ac:dyDescent="0.2">
      <c r="B15" s="8"/>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5"/>
    </row>
    <row r="16" spans="2:37" ht="16" thickBot="1" x14ac:dyDescent="0.25">
      <c r="B16" s="10"/>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100"/>
      <c r="AJ16" s="100"/>
      <c r="AK16" s="101"/>
    </row>
    <row r="17" spans="2:37" x14ac:dyDescent="0.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2:37" x14ac:dyDescent="0.2">
      <c r="AA18"/>
      <c r="AB18"/>
      <c r="AC18"/>
      <c r="AD18"/>
      <c r="AE18"/>
    </row>
    <row r="19" spans="2:37" x14ac:dyDescent="0.2">
      <c r="Z19" s="151"/>
      <c r="AA19" s="151"/>
      <c r="AB19" s="151"/>
      <c r="AC19" s="151"/>
      <c r="AD19" s="151"/>
      <c r="AE19" s="151"/>
      <c r="AF19" s="151"/>
      <c r="AG19" s="151"/>
      <c r="AH19" s="151"/>
      <c r="AI19" s="151"/>
    </row>
    <row r="20" spans="2:37" x14ac:dyDescent="0.2">
      <c r="Z20" s="152" t="s">
        <v>122</v>
      </c>
      <c r="AA20" s="153"/>
      <c r="AB20" s="105">
        <v>90000</v>
      </c>
      <c r="AC20" s="106" t="s">
        <v>123</v>
      </c>
      <c r="AD20" s="105">
        <v>4200</v>
      </c>
      <c r="AE20" s="154" t="s">
        <v>124</v>
      </c>
      <c r="AF20" s="154"/>
      <c r="AG20" s="154"/>
      <c r="AH20" s="154"/>
      <c r="AI20" s="155"/>
      <c r="AJ20" s="81"/>
      <c r="AK20" s="81"/>
    </row>
    <row r="21" spans="2:37" x14ac:dyDescent="0.2">
      <c r="Z21" s="156" t="s">
        <v>98</v>
      </c>
      <c r="AA21" s="156" t="s">
        <v>99</v>
      </c>
      <c r="AB21" s="144" t="s">
        <v>100</v>
      </c>
      <c r="AC21" s="145"/>
      <c r="AD21" s="145"/>
      <c r="AE21" s="146"/>
      <c r="AF21" s="143" t="s">
        <v>101</v>
      </c>
      <c r="AG21" s="143"/>
      <c r="AH21" s="143"/>
      <c r="AI21" s="143"/>
    </row>
    <row r="22" spans="2:37" x14ac:dyDescent="0.2">
      <c r="Z22" s="156"/>
      <c r="AA22" s="156"/>
      <c r="AB22" s="121"/>
      <c r="AC22" s="121"/>
      <c r="AD22" s="121"/>
      <c r="AE22" s="121"/>
      <c r="AF22" s="143" t="s">
        <v>102</v>
      </c>
      <c r="AG22" s="143"/>
      <c r="AH22" s="143" t="s">
        <v>103</v>
      </c>
      <c r="AI22" s="143"/>
    </row>
    <row r="23" spans="2:37" x14ac:dyDescent="0.2">
      <c r="Z23" s="156"/>
      <c r="AA23" s="156"/>
      <c r="AB23" s="121"/>
      <c r="AC23" s="121"/>
      <c r="AD23" s="121"/>
      <c r="AE23" s="121"/>
      <c r="AF23" s="50" t="s">
        <v>104</v>
      </c>
      <c r="AG23" s="50" t="s">
        <v>105</v>
      </c>
      <c r="AH23" s="50" t="s">
        <v>104</v>
      </c>
      <c r="AI23" s="50" t="s">
        <v>105</v>
      </c>
    </row>
    <row r="24" spans="2:37" x14ac:dyDescent="0.2">
      <c r="Z24" s="50" t="s">
        <v>3</v>
      </c>
      <c r="AA24" s="120" t="s">
        <v>4</v>
      </c>
      <c r="AB24" s="102">
        <v>0</v>
      </c>
      <c r="AC24" s="19"/>
      <c r="AD24" s="19"/>
      <c r="AE24" s="19"/>
      <c r="AF24" s="103" t="str">
        <f>'Scenario 1'!J3</f>
        <v>t(e)</v>
      </c>
      <c r="AG24" s="82">
        <v>3000</v>
      </c>
      <c r="AH24" s="19">
        <v>0</v>
      </c>
      <c r="AI24" s="82">
        <v>0</v>
      </c>
    </row>
    <row r="25" spans="2:37" x14ac:dyDescent="0.2">
      <c r="Z25" s="50" t="s">
        <v>5</v>
      </c>
      <c r="AA25" s="122">
        <v>4000</v>
      </c>
      <c r="AB25" s="102">
        <v>2</v>
      </c>
      <c r="AC25" s="19">
        <v>1</v>
      </c>
      <c r="AD25" s="19"/>
      <c r="AE25" s="19"/>
      <c r="AF25" s="103">
        <f>'Scenario 1'!J4</f>
        <v>2</v>
      </c>
      <c r="AG25" s="82">
        <v>8000</v>
      </c>
      <c r="AH25" s="19">
        <v>2</v>
      </c>
      <c r="AI25" s="82">
        <v>4000</v>
      </c>
    </row>
    <row r="26" spans="2:37" ht="21" x14ac:dyDescent="0.25">
      <c r="R26" s="160"/>
      <c r="S26" s="160"/>
      <c r="T26" s="160"/>
      <c r="U26" s="160"/>
      <c r="V26" s="160"/>
      <c r="Z26" s="50" t="s">
        <v>6</v>
      </c>
      <c r="AA26" s="122">
        <v>5000</v>
      </c>
      <c r="AB26" s="102">
        <v>2</v>
      </c>
      <c r="AC26" s="19">
        <v>1</v>
      </c>
      <c r="AD26" s="19">
        <v>0</v>
      </c>
      <c r="AE26" s="19"/>
      <c r="AF26" s="103">
        <f>'Scenario 1'!J5</f>
        <v>6</v>
      </c>
      <c r="AG26" s="82">
        <v>10000</v>
      </c>
      <c r="AH26" s="19">
        <v>2</v>
      </c>
      <c r="AI26" s="82">
        <v>5000</v>
      </c>
    </row>
    <row r="27" spans="2:37" ht="21" x14ac:dyDescent="0.25">
      <c r="R27" s="159"/>
      <c r="S27" s="159"/>
      <c r="T27" s="159"/>
      <c r="U27" s="159"/>
      <c r="V27" s="159"/>
      <c r="Z27" s="50" t="s">
        <v>7</v>
      </c>
      <c r="AA27" s="122">
        <v>6000</v>
      </c>
      <c r="AB27" s="102">
        <v>0</v>
      </c>
      <c r="AC27" s="19"/>
      <c r="AD27" s="19"/>
      <c r="AE27" s="19"/>
      <c r="AF27" s="103">
        <f>'Scenario 1'!J6</f>
        <v>6</v>
      </c>
      <c r="AG27" s="82">
        <v>18000</v>
      </c>
      <c r="AH27" s="19">
        <v>3</v>
      </c>
      <c r="AI27" s="82">
        <v>6000</v>
      </c>
    </row>
    <row r="28" spans="2:37" ht="21" x14ac:dyDescent="0.25">
      <c r="R28" s="158"/>
      <c r="S28" s="158"/>
      <c r="T28" s="158"/>
      <c r="U28" s="158"/>
      <c r="V28" s="158"/>
      <c r="Z28" s="50" t="s">
        <v>8</v>
      </c>
      <c r="AA28" s="122">
        <v>7000</v>
      </c>
      <c r="AB28" s="102">
        <v>3</v>
      </c>
      <c r="AC28" s="19"/>
      <c r="AD28" s="19"/>
      <c r="AE28" s="19"/>
      <c r="AF28" s="103">
        <f>'Scenario 1'!J7</f>
        <v>8</v>
      </c>
      <c r="AG28" s="82">
        <v>22000</v>
      </c>
      <c r="AH28" s="19">
        <v>3</v>
      </c>
      <c r="AI28" s="82">
        <v>7000</v>
      </c>
    </row>
    <row r="29" spans="2:37" ht="21" x14ac:dyDescent="0.25">
      <c r="R29" s="157"/>
      <c r="S29" s="157"/>
      <c r="T29" s="157"/>
      <c r="U29" s="157"/>
      <c r="V29" s="157"/>
      <c r="Z29" s="50" t="s">
        <v>9</v>
      </c>
      <c r="AA29" s="122">
        <v>3000</v>
      </c>
      <c r="AB29" s="102">
        <v>1</v>
      </c>
      <c r="AC29" s="19">
        <v>0</v>
      </c>
      <c r="AD29" s="19"/>
      <c r="AE29" s="19"/>
      <c r="AF29" s="103">
        <f>'Scenario 1'!J8</f>
        <v>10</v>
      </c>
      <c r="AG29" s="82">
        <v>6000</v>
      </c>
      <c r="AH29" s="19">
        <v>1</v>
      </c>
      <c r="AI29" s="82">
        <v>3000</v>
      </c>
    </row>
    <row r="30" spans="2:37" ht="21" x14ac:dyDescent="0.25">
      <c r="R30" s="147"/>
      <c r="S30" s="147"/>
      <c r="T30" s="147"/>
      <c r="U30" s="147"/>
      <c r="V30" s="147"/>
      <c r="Z30" s="50" t="s">
        <v>10</v>
      </c>
      <c r="AA30" s="122">
        <v>4000</v>
      </c>
      <c r="AB30" s="102">
        <v>3</v>
      </c>
      <c r="AC30" s="19">
        <v>2</v>
      </c>
      <c r="AD30" s="19">
        <v>1</v>
      </c>
      <c r="AE30" s="19">
        <v>0</v>
      </c>
      <c r="AF30" s="103">
        <f>'Scenario 1'!J9</f>
        <v>5</v>
      </c>
      <c r="AG30" s="82">
        <v>12000</v>
      </c>
      <c r="AH30" s="19">
        <v>3</v>
      </c>
      <c r="AI30" s="82">
        <v>4000</v>
      </c>
    </row>
    <row r="31" spans="2:37" x14ac:dyDescent="0.2">
      <c r="Z31" s="50" t="s">
        <v>11</v>
      </c>
      <c r="AA31" s="122">
        <v>6000</v>
      </c>
      <c r="AB31" s="102">
        <v>2</v>
      </c>
      <c r="AC31" s="19">
        <v>1</v>
      </c>
      <c r="AD31" s="19">
        <v>0</v>
      </c>
      <c r="AE31" s="19"/>
      <c r="AF31" s="103">
        <f>'Scenario 1'!J10</f>
        <v>9</v>
      </c>
      <c r="AG31" s="82">
        <v>14000</v>
      </c>
      <c r="AH31" s="19">
        <v>2</v>
      </c>
      <c r="AI31" s="82">
        <v>6000</v>
      </c>
    </row>
    <row r="32" spans="2:37" x14ac:dyDescent="0.2">
      <c r="Z32" s="50" t="s">
        <v>12</v>
      </c>
      <c r="AA32" s="122">
        <v>4000</v>
      </c>
      <c r="AB32" s="102">
        <v>1</v>
      </c>
      <c r="AC32" s="19">
        <v>0</v>
      </c>
      <c r="AD32" s="19"/>
      <c r="AE32" s="19"/>
      <c r="AF32" s="103">
        <f>'Scenario 1'!J11</f>
        <v>7</v>
      </c>
      <c r="AG32" s="82">
        <v>9000</v>
      </c>
      <c r="AH32" s="19">
        <v>1</v>
      </c>
      <c r="AI32" s="82">
        <v>4000</v>
      </c>
    </row>
    <row r="33" spans="2:35" x14ac:dyDescent="0.2">
      <c r="Z33" s="50" t="s">
        <v>140</v>
      </c>
      <c r="AA33" s="122">
        <v>5000</v>
      </c>
      <c r="AB33" s="102">
        <v>3</v>
      </c>
      <c r="AC33" s="19">
        <v>2</v>
      </c>
      <c r="AD33" s="19">
        <v>1</v>
      </c>
      <c r="AE33" s="19">
        <v>0</v>
      </c>
      <c r="AF33" s="103">
        <f>'Scenario 1'!J12</f>
        <v>7</v>
      </c>
      <c r="AG33" s="82">
        <v>15000</v>
      </c>
      <c r="AH33" s="19">
        <v>3</v>
      </c>
      <c r="AI33" s="82">
        <v>5000</v>
      </c>
    </row>
    <row r="34" spans="2:35" x14ac:dyDescent="0.2">
      <c r="Z34" s="50" t="s">
        <v>141</v>
      </c>
      <c r="AA34" s="122">
        <v>4000</v>
      </c>
      <c r="AB34" s="102">
        <v>2</v>
      </c>
      <c r="AC34" s="19">
        <v>1</v>
      </c>
      <c r="AD34" s="19"/>
      <c r="AE34" s="19"/>
      <c r="AF34" s="103">
        <f>'Scenario 1'!J13</f>
        <v>12</v>
      </c>
      <c r="AG34" s="82">
        <v>11000</v>
      </c>
      <c r="AH34" s="19">
        <v>2</v>
      </c>
      <c r="AI34" s="82">
        <v>4000</v>
      </c>
    </row>
    <row r="35" spans="2:35" x14ac:dyDescent="0.2">
      <c r="Z35" s="50" t="s">
        <v>142</v>
      </c>
      <c r="AA35" s="122">
        <v>3500</v>
      </c>
      <c r="AB35" s="102">
        <v>2</v>
      </c>
      <c r="AC35" s="19">
        <v>1</v>
      </c>
      <c r="AD35" s="19">
        <v>0</v>
      </c>
      <c r="AE35" s="19"/>
      <c r="AF35" s="103">
        <f>'Scenario 1'!J14</f>
        <v>9</v>
      </c>
      <c r="AG35" s="82">
        <v>8000</v>
      </c>
      <c r="AH35" s="19">
        <v>2</v>
      </c>
      <c r="AI35" s="82">
        <v>3500</v>
      </c>
    </row>
    <row r="36" spans="2:35" x14ac:dyDescent="0.2">
      <c r="Z36" s="50" t="s">
        <v>143</v>
      </c>
      <c r="AA36" s="122">
        <v>6000</v>
      </c>
      <c r="AB36" s="102">
        <v>3</v>
      </c>
      <c r="AC36" s="19">
        <v>2</v>
      </c>
      <c r="AD36" s="19"/>
      <c r="AE36" s="19"/>
      <c r="AF36" s="103">
        <f>'Scenario 1'!J15</f>
        <v>7</v>
      </c>
      <c r="AG36" s="82">
        <v>20000</v>
      </c>
      <c r="AH36" s="19">
        <v>3</v>
      </c>
      <c r="AI36" s="82">
        <v>6000</v>
      </c>
    </row>
    <row r="37" spans="2:35" x14ac:dyDescent="0.2">
      <c r="Z37" s="50" t="s">
        <v>144</v>
      </c>
      <c r="AA37" s="122" t="s">
        <v>4</v>
      </c>
      <c r="AB37" s="102">
        <v>0</v>
      </c>
      <c r="AC37" s="19"/>
      <c r="AD37" s="19"/>
      <c r="AE37" s="19"/>
      <c r="AF37" s="103">
        <f>'Scenario 1'!J16</f>
        <v>9</v>
      </c>
      <c r="AG37" s="82">
        <v>30000</v>
      </c>
      <c r="AH37" s="19">
        <v>0</v>
      </c>
      <c r="AI37" s="82">
        <v>0</v>
      </c>
    </row>
    <row r="38" spans="2:35" x14ac:dyDescent="0.2">
      <c r="Z38" s="50" t="s">
        <v>145</v>
      </c>
      <c r="AA38" s="122">
        <v>2000</v>
      </c>
      <c r="AB38" s="102">
        <v>1</v>
      </c>
      <c r="AC38" s="19">
        <v>0</v>
      </c>
      <c r="AD38" s="19"/>
      <c r="AE38" s="19"/>
      <c r="AF38" s="103">
        <f>'Scenario 1'!J17</f>
        <v>1</v>
      </c>
      <c r="AG38" s="82">
        <v>6000</v>
      </c>
      <c r="AH38" s="19">
        <v>1</v>
      </c>
      <c r="AI38" s="82">
        <v>2000</v>
      </c>
    </row>
    <row r="39" spans="2:35" x14ac:dyDescent="0.2">
      <c r="Z39" s="80"/>
      <c r="AA39"/>
      <c r="AB39"/>
      <c r="AC39"/>
      <c r="AD39"/>
      <c r="AE39"/>
      <c r="AF39" s="80"/>
      <c r="AG39" s="83"/>
      <c r="AH39" s="80"/>
      <c r="AI39" s="83"/>
    </row>
    <row r="40" spans="2:35" x14ac:dyDescent="0.2">
      <c r="AA40"/>
      <c r="AB40"/>
      <c r="AC40"/>
      <c r="AD40"/>
      <c r="AE40"/>
    </row>
    <row r="41" spans="2:35" x14ac:dyDescent="0.2">
      <c r="E41"/>
      <c r="F41"/>
      <c r="G41" s="169" t="s">
        <v>106</v>
      </c>
      <c r="H41" s="170"/>
      <c r="I41" s="170"/>
      <c r="J41" s="170"/>
      <c r="K41" s="170"/>
      <c r="L41" s="170"/>
      <c r="M41" s="170"/>
      <c r="N41" s="170"/>
      <c r="O41" s="170"/>
      <c r="P41" s="170"/>
      <c r="Q41" s="170"/>
      <c r="R41" s="170"/>
      <c r="S41" s="170"/>
      <c r="T41" s="170"/>
      <c r="U41" s="170"/>
      <c r="V41" s="171"/>
      <c r="AA41"/>
      <c r="AB41"/>
      <c r="AC41"/>
      <c r="AD41"/>
      <c r="AE41"/>
    </row>
    <row r="42" spans="2:35" ht="15" customHeight="1" x14ac:dyDescent="0.2">
      <c r="E42"/>
      <c r="F42"/>
      <c r="G42" s="172"/>
      <c r="H42" s="173"/>
      <c r="I42" s="173"/>
      <c r="J42" s="173"/>
      <c r="K42" s="173"/>
      <c r="L42" s="173"/>
      <c r="M42" s="173"/>
      <c r="N42" s="173"/>
      <c r="O42" s="173"/>
      <c r="P42" s="173"/>
      <c r="Q42" s="173"/>
      <c r="R42" s="173"/>
      <c r="S42" s="173"/>
      <c r="T42" s="173"/>
      <c r="U42" s="173"/>
      <c r="V42" s="174"/>
      <c r="AA42"/>
      <c r="AB42"/>
      <c r="AC42"/>
      <c r="AD42"/>
      <c r="AE42"/>
    </row>
    <row r="43" spans="2:35" ht="15" customHeight="1" x14ac:dyDescent="0.2">
      <c r="B43" s="137" t="s">
        <v>113</v>
      </c>
      <c r="C43" s="138"/>
      <c r="D43" s="138"/>
      <c r="E43" s="138"/>
      <c r="F43" s="139"/>
      <c r="G43" s="137" t="s">
        <v>114</v>
      </c>
      <c r="H43" s="139"/>
      <c r="I43" s="137" t="s">
        <v>115</v>
      </c>
      <c r="J43" s="139"/>
      <c r="K43" s="137" t="s">
        <v>116</v>
      </c>
      <c r="L43" s="139"/>
      <c r="M43" s="137" t="s">
        <v>117</v>
      </c>
      <c r="N43" s="139"/>
      <c r="O43" s="137" t="s">
        <v>118</v>
      </c>
      <c r="P43" s="139"/>
      <c r="Q43" s="137" t="s">
        <v>119</v>
      </c>
      <c r="R43" s="139"/>
      <c r="S43" s="137" t="s">
        <v>120</v>
      </c>
      <c r="T43" s="139"/>
      <c r="U43" s="137" t="s">
        <v>121</v>
      </c>
      <c r="V43" s="139"/>
      <c r="W43" s="137" t="s">
        <v>151</v>
      </c>
      <c r="X43" s="139"/>
      <c r="Y43" s="137" t="s">
        <v>152</v>
      </c>
      <c r="Z43" s="139"/>
      <c r="AA43"/>
      <c r="AB43"/>
      <c r="AC43"/>
      <c r="AD43"/>
      <c r="AE43"/>
    </row>
    <row r="44" spans="2:35" ht="21" customHeight="1" x14ac:dyDescent="0.25">
      <c r="B44" s="148" t="s">
        <v>146</v>
      </c>
      <c r="C44" s="149"/>
      <c r="D44" s="149"/>
      <c r="E44" s="149"/>
      <c r="F44" s="150"/>
      <c r="G44" s="135">
        <v>37</v>
      </c>
      <c r="H44" s="136"/>
      <c r="I44" s="135">
        <v>37</v>
      </c>
      <c r="J44" s="136"/>
      <c r="K44" s="135">
        <v>37</v>
      </c>
      <c r="L44" s="136"/>
      <c r="M44" s="135">
        <v>37</v>
      </c>
      <c r="N44" s="136"/>
      <c r="O44" s="135">
        <v>36</v>
      </c>
      <c r="P44" s="136"/>
      <c r="Q44" s="135">
        <v>35</v>
      </c>
      <c r="R44" s="136"/>
      <c r="S44" s="135">
        <v>34</v>
      </c>
      <c r="T44" s="136"/>
      <c r="U44" s="135">
        <v>33</v>
      </c>
      <c r="V44" s="136"/>
      <c r="W44" s="135">
        <v>32</v>
      </c>
      <c r="X44" s="136"/>
      <c r="Y44" s="135">
        <v>30</v>
      </c>
      <c r="Z44" s="136"/>
      <c r="AA44"/>
      <c r="AB44"/>
      <c r="AC44"/>
      <c r="AD44"/>
      <c r="AE44"/>
    </row>
    <row r="45" spans="2:35" ht="21" x14ac:dyDescent="0.25">
      <c r="B45" s="140" t="s">
        <v>147</v>
      </c>
      <c r="C45" s="141"/>
      <c r="D45" s="141"/>
      <c r="E45" s="141"/>
      <c r="F45" s="142"/>
      <c r="G45" s="135">
        <v>33</v>
      </c>
      <c r="H45" s="136"/>
      <c r="I45" s="135">
        <v>32</v>
      </c>
      <c r="J45" s="136"/>
      <c r="K45" s="135">
        <v>31</v>
      </c>
      <c r="L45" s="136"/>
      <c r="M45" s="135">
        <v>30</v>
      </c>
      <c r="N45" s="136"/>
      <c r="O45" s="135">
        <v>29</v>
      </c>
      <c r="P45" s="136"/>
      <c r="Q45" s="135">
        <v>29</v>
      </c>
      <c r="R45" s="136"/>
      <c r="S45" s="135">
        <v>29</v>
      </c>
      <c r="T45" s="136"/>
      <c r="U45" s="135">
        <v>29</v>
      </c>
      <c r="V45" s="136"/>
      <c r="W45" s="135">
        <v>28</v>
      </c>
      <c r="X45" s="136"/>
      <c r="Y45" s="135">
        <v>27</v>
      </c>
      <c r="Z45" s="136"/>
      <c r="AA45"/>
      <c r="AB45"/>
      <c r="AC45"/>
      <c r="AD45"/>
      <c r="AE45"/>
    </row>
    <row r="46" spans="2:35" ht="21" x14ac:dyDescent="0.25">
      <c r="B46" s="164" t="s">
        <v>148</v>
      </c>
      <c r="C46" s="165"/>
      <c r="D46" s="165"/>
      <c r="E46" s="165"/>
      <c r="F46" s="166"/>
      <c r="G46" s="167">
        <v>40</v>
      </c>
      <c r="H46" s="168"/>
      <c r="I46" s="167">
        <v>39</v>
      </c>
      <c r="J46" s="168"/>
      <c r="K46" s="167">
        <v>38</v>
      </c>
      <c r="L46" s="168"/>
      <c r="M46" s="167">
        <v>37</v>
      </c>
      <c r="N46" s="168"/>
      <c r="O46" s="167">
        <v>36</v>
      </c>
      <c r="P46" s="168"/>
      <c r="Q46" s="167">
        <v>35</v>
      </c>
      <c r="R46" s="168"/>
      <c r="S46" s="167">
        <v>34</v>
      </c>
      <c r="T46" s="168"/>
      <c r="U46" s="167">
        <v>33</v>
      </c>
      <c r="V46" s="168"/>
      <c r="W46" s="167">
        <v>32</v>
      </c>
      <c r="X46" s="168"/>
      <c r="Y46" s="167">
        <v>31</v>
      </c>
      <c r="Z46" s="168"/>
      <c r="AA46"/>
      <c r="AB46"/>
      <c r="AC46"/>
      <c r="AD46"/>
      <c r="AE46"/>
    </row>
    <row r="47" spans="2:35" ht="21" x14ac:dyDescent="0.25">
      <c r="B47" s="161" t="s">
        <v>149</v>
      </c>
      <c r="C47" s="162"/>
      <c r="D47" s="162"/>
      <c r="E47" s="162"/>
      <c r="F47" s="163"/>
      <c r="G47" s="135">
        <v>28</v>
      </c>
      <c r="H47" s="136"/>
      <c r="I47" s="135">
        <v>28</v>
      </c>
      <c r="J47" s="136"/>
      <c r="K47" s="135">
        <v>28</v>
      </c>
      <c r="L47" s="136"/>
      <c r="M47" s="135">
        <v>28</v>
      </c>
      <c r="N47" s="136"/>
      <c r="O47" s="135">
        <v>28</v>
      </c>
      <c r="P47" s="136"/>
      <c r="Q47" s="135">
        <v>28</v>
      </c>
      <c r="R47" s="136"/>
      <c r="S47" s="135">
        <v>28</v>
      </c>
      <c r="T47" s="136"/>
      <c r="U47" s="135">
        <v>28</v>
      </c>
      <c r="V47" s="136"/>
      <c r="W47" s="135">
        <v>28</v>
      </c>
      <c r="X47" s="136"/>
      <c r="Y47" s="135">
        <v>26</v>
      </c>
      <c r="Z47" s="136"/>
      <c r="AA47"/>
      <c r="AB47"/>
      <c r="AC47"/>
      <c r="AD47"/>
      <c r="AE47"/>
    </row>
    <row r="48" spans="2:35" ht="21" x14ac:dyDescent="0.25">
      <c r="B48" s="132" t="s">
        <v>150</v>
      </c>
      <c r="C48" s="133"/>
      <c r="D48" s="133"/>
      <c r="E48" s="133"/>
      <c r="F48" s="134"/>
      <c r="G48" s="135">
        <v>34</v>
      </c>
      <c r="H48" s="136"/>
      <c r="I48" s="135">
        <v>34</v>
      </c>
      <c r="J48" s="136"/>
      <c r="K48" s="135">
        <v>34</v>
      </c>
      <c r="L48" s="136"/>
      <c r="M48" s="135">
        <v>34</v>
      </c>
      <c r="N48" s="136"/>
      <c r="O48" s="135">
        <v>34</v>
      </c>
      <c r="P48" s="136"/>
      <c r="Q48" s="135">
        <v>34</v>
      </c>
      <c r="R48" s="136"/>
      <c r="S48" s="135">
        <v>34</v>
      </c>
      <c r="T48" s="136"/>
      <c r="U48" s="135">
        <v>33</v>
      </c>
      <c r="V48" s="136"/>
      <c r="W48" s="135">
        <v>32</v>
      </c>
      <c r="X48" s="136"/>
      <c r="Y48" s="135">
        <v>29</v>
      </c>
      <c r="Z48" s="136"/>
      <c r="AA48"/>
      <c r="AB48"/>
      <c r="AC48"/>
      <c r="AD48"/>
      <c r="AE48"/>
    </row>
    <row r="49" spans="25:31" x14ac:dyDescent="0.2">
      <c r="AA49"/>
      <c r="AB49"/>
      <c r="AC49"/>
      <c r="AD49"/>
      <c r="AE49"/>
    </row>
    <row r="50" spans="25:31" x14ac:dyDescent="0.2">
      <c r="AA50"/>
      <c r="AB50"/>
      <c r="AC50"/>
      <c r="AD50"/>
      <c r="AE50"/>
    </row>
    <row r="51" spans="25:31" x14ac:dyDescent="0.2">
      <c r="AA51"/>
      <c r="AB51"/>
      <c r="AC51"/>
      <c r="AD51"/>
      <c r="AE51"/>
    </row>
    <row r="52" spans="25:31" x14ac:dyDescent="0.2">
      <c r="AA52"/>
      <c r="AB52"/>
      <c r="AC52"/>
      <c r="AD52"/>
      <c r="AE52"/>
    </row>
    <row r="53" spans="25:31" ht="34" x14ac:dyDescent="0.2">
      <c r="Z53" s="108" t="s">
        <v>107</v>
      </c>
      <c r="AA53" s="108" t="s">
        <v>108</v>
      </c>
      <c r="AB53" s="108" t="s">
        <v>109</v>
      </c>
      <c r="AC53" s="108" t="s">
        <v>110</v>
      </c>
      <c r="AD53" s="108" t="s">
        <v>111</v>
      </c>
      <c r="AE53" s="108" t="s">
        <v>112</v>
      </c>
    </row>
    <row r="54" spans="25:31" ht="14.5" customHeight="1" x14ac:dyDescent="0.2">
      <c r="Y54" s="80" t="s">
        <v>114</v>
      </c>
      <c r="Z54" s="19">
        <v>40</v>
      </c>
      <c r="AA54" s="109" t="s">
        <v>4</v>
      </c>
      <c r="AB54" s="109" t="s">
        <v>4</v>
      </c>
      <c r="AC54" s="110">
        <f>SUM(AG24:AG38)</f>
        <v>192000</v>
      </c>
      <c r="AD54" s="111">
        <f>AB20</f>
        <v>90000</v>
      </c>
      <c r="AE54" s="110">
        <f t="shared" ref="AE54:AE63" si="0">AC54+AD54</f>
        <v>282000</v>
      </c>
    </row>
    <row r="55" spans="25:31" ht="14.5" customHeight="1" x14ac:dyDescent="0.2">
      <c r="Y55" s="80" t="s">
        <v>115</v>
      </c>
      <c r="Z55" s="113">
        <v>39</v>
      </c>
      <c r="AA55" s="114" t="s">
        <v>12</v>
      </c>
      <c r="AB55" s="115">
        <f>AA32</f>
        <v>4000</v>
      </c>
      <c r="AC55" s="116">
        <f t="shared" ref="AC55:AC63" si="1">AC54+AB55</f>
        <v>196000</v>
      </c>
      <c r="AD55" s="117">
        <f>AD54-$AD$20</f>
        <v>85800</v>
      </c>
      <c r="AE55" s="116">
        <f t="shared" si="0"/>
        <v>281800</v>
      </c>
    </row>
    <row r="56" spans="25:31" x14ac:dyDescent="0.2">
      <c r="Y56" s="80" t="s">
        <v>116</v>
      </c>
      <c r="Z56" s="19">
        <v>38</v>
      </c>
      <c r="AA56" s="50" t="s">
        <v>140</v>
      </c>
      <c r="AB56" s="112">
        <f>$AA$33</f>
        <v>5000</v>
      </c>
      <c r="AC56" s="110">
        <f t="shared" si="1"/>
        <v>201000</v>
      </c>
      <c r="AD56" s="111">
        <f t="shared" ref="AD56:AD63" si="2">AD55-$AD$20</f>
        <v>81600</v>
      </c>
      <c r="AE56" s="110">
        <f t="shared" si="0"/>
        <v>282600</v>
      </c>
    </row>
    <row r="57" spans="25:31" x14ac:dyDescent="0.2">
      <c r="Y57" s="80" t="s">
        <v>117</v>
      </c>
      <c r="Z57" s="19">
        <v>37</v>
      </c>
      <c r="AA57" s="50" t="s">
        <v>140</v>
      </c>
      <c r="AB57" s="112">
        <f>$AA$33</f>
        <v>5000</v>
      </c>
      <c r="AC57" s="110">
        <f t="shared" si="1"/>
        <v>206000</v>
      </c>
      <c r="AD57" s="111">
        <f t="shared" si="2"/>
        <v>77400</v>
      </c>
      <c r="AE57" s="110">
        <f t="shared" si="0"/>
        <v>283400</v>
      </c>
    </row>
    <row r="58" spans="25:31" x14ac:dyDescent="0.2">
      <c r="Y58" s="80" t="s">
        <v>118</v>
      </c>
      <c r="Z58" s="19">
        <v>36</v>
      </c>
      <c r="AA58" s="50" t="s">
        <v>165</v>
      </c>
      <c r="AB58" s="112">
        <f>AA29+AA33</f>
        <v>8000</v>
      </c>
      <c r="AC58" s="110">
        <f t="shared" si="1"/>
        <v>214000</v>
      </c>
      <c r="AD58" s="111">
        <f t="shared" si="2"/>
        <v>73200</v>
      </c>
      <c r="AE58" s="110">
        <f t="shared" si="0"/>
        <v>287200</v>
      </c>
    </row>
    <row r="59" spans="25:31" x14ac:dyDescent="0.2">
      <c r="Y59" s="80" t="s">
        <v>119</v>
      </c>
      <c r="Z59" s="19">
        <v>35</v>
      </c>
      <c r="AA59" s="50" t="s">
        <v>166</v>
      </c>
      <c r="AB59" s="112">
        <f>$AA$30+$AA$26</f>
        <v>9000</v>
      </c>
      <c r="AC59" s="110">
        <f t="shared" si="1"/>
        <v>223000</v>
      </c>
      <c r="AD59" s="111">
        <f t="shared" si="2"/>
        <v>69000</v>
      </c>
      <c r="AE59" s="110">
        <f t="shared" si="0"/>
        <v>292000</v>
      </c>
    </row>
    <row r="60" spans="25:31" x14ac:dyDescent="0.2">
      <c r="Y60" s="80" t="s">
        <v>120</v>
      </c>
      <c r="Z60" s="19">
        <v>34</v>
      </c>
      <c r="AA60" s="50" t="s">
        <v>166</v>
      </c>
      <c r="AB60" s="112">
        <f>$AA$30+$AA$26</f>
        <v>9000</v>
      </c>
      <c r="AC60" s="110">
        <f t="shared" si="1"/>
        <v>232000</v>
      </c>
      <c r="AD60" s="111">
        <f t="shared" si="2"/>
        <v>64800</v>
      </c>
      <c r="AE60" s="110">
        <f t="shared" si="0"/>
        <v>296800</v>
      </c>
    </row>
    <row r="61" spans="25:31" x14ac:dyDescent="0.2">
      <c r="Y61" s="80" t="s">
        <v>121</v>
      </c>
      <c r="Z61" s="19">
        <v>33</v>
      </c>
      <c r="AA61" s="50" t="s">
        <v>167</v>
      </c>
      <c r="AB61" s="112">
        <f>AA30+AA31+AA35</f>
        <v>13500</v>
      </c>
      <c r="AC61" s="110">
        <f t="shared" si="1"/>
        <v>245500</v>
      </c>
      <c r="AD61" s="111">
        <f t="shared" si="2"/>
        <v>60600</v>
      </c>
      <c r="AE61" s="110">
        <f t="shared" si="0"/>
        <v>306100</v>
      </c>
    </row>
    <row r="62" spans="25:31" x14ac:dyDescent="0.2">
      <c r="Y62" s="80" t="s">
        <v>151</v>
      </c>
      <c r="Z62" s="19">
        <v>32</v>
      </c>
      <c r="AA62" s="50" t="s">
        <v>168</v>
      </c>
      <c r="AB62" s="112">
        <f>AA25+AA31+AA35</f>
        <v>13500</v>
      </c>
      <c r="AC62" s="110">
        <f t="shared" si="1"/>
        <v>259000</v>
      </c>
      <c r="AD62" s="111">
        <f t="shared" si="2"/>
        <v>56400</v>
      </c>
      <c r="AE62" s="110">
        <f t="shared" si="0"/>
        <v>315400</v>
      </c>
    </row>
    <row r="63" spans="25:31" x14ac:dyDescent="0.2">
      <c r="Y63" s="80" t="s">
        <v>152</v>
      </c>
      <c r="Z63" s="19">
        <v>31</v>
      </c>
      <c r="AA63" s="50" t="s">
        <v>169</v>
      </c>
      <c r="AB63" s="118">
        <f>AA36+AA38+AA34</f>
        <v>12000</v>
      </c>
      <c r="AC63" s="110">
        <f t="shared" si="1"/>
        <v>271000</v>
      </c>
      <c r="AD63" s="111">
        <f t="shared" si="2"/>
        <v>52200</v>
      </c>
      <c r="AE63" s="110">
        <f t="shared" si="0"/>
        <v>323200</v>
      </c>
    </row>
    <row r="68" spans="2:31" x14ac:dyDescent="0.2">
      <c r="Y68"/>
      <c r="AA68"/>
      <c r="AB68"/>
      <c r="AC68"/>
      <c r="AD68"/>
      <c r="AE68"/>
    </row>
    <row r="69" spans="2:31" x14ac:dyDescent="0.2">
      <c r="B69"/>
      <c r="C69"/>
      <c r="D69"/>
      <c r="E69"/>
      <c r="F69"/>
      <c r="G69"/>
      <c r="H69"/>
      <c r="I69"/>
      <c r="J69"/>
      <c r="K69"/>
      <c r="L69"/>
      <c r="M69"/>
      <c r="N69"/>
      <c r="O69"/>
      <c r="P69"/>
      <c r="Q69"/>
      <c r="R69"/>
      <c r="S69"/>
      <c r="T69"/>
      <c r="U69"/>
      <c r="V69"/>
      <c r="W69"/>
      <c r="X69"/>
      <c r="Y69"/>
      <c r="AA69"/>
      <c r="AB69"/>
      <c r="AC69"/>
      <c r="AD69"/>
      <c r="AE69"/>
    </row>
    <row r="70" spans="2:31" x14ac:dyDescent="0.2">
      <c r="B70"/>
      <c r="C70"/>
      <c r="D70"/>
      <c r="E70"/>
      <c r="F70"/>
      <c r="G70"/>
      <c r="H70"/>
      <c r="I70"/>
      <c r="J70"/>
      <c r="K70"/>
      <c r="L70"/>
      <c r="M70"/>
      <c r="N70"/>
      <c r="O70"/>
      <c r="P70"/>
      <c r="Q70"/>
      <c r="R70"/>
      <c r="S70"/>
      <c r="T70"/>
      <c r="U70"/>
      <c r="V70"/>
      <c r="W70"/>
      <c r="X70"/>
      <c r="Y70"/>
      <c r="AA70"/>
      <c r="AB70"/>
      <c r="AC70"/>
      <c r="AD70"/>
      <c r="AE70"/>
    </row>
    <row r="71" spans="2:31" x14ac:dyDescent="0.2">
      <c r="B71"/>
      <c r="C71"/>
      <c r="D71"/>
      <c r="E71"/>
      <c r="F71"/>
      <c r="G71"/>
      <c r="H71"/>
      <c r="I71"/>
      <c r="J71"/>
      <c r="K71"/>
      <c r="L71"/>
      <c r="M71"/>
      <c r="N71"/>
      <c r="O71"/>
      <c r="P71"/>
      <c r="Q71"/>
      <c r="R71"/>
      <c r="S71"/>
      <c r="T71"/>
      <c r="U71"/>
      <c r="V71"/>
      <c r="W71"/>
      <c r="X71"/>
      <c r="Y71"/>
      <c r="AA71"/>
      <c r="AB71"/>
      <c r="AC71"/>
      <c r="AD71"/>
      <c r="AE71"/>
    </row>
    <row r="72" spans="2:31" x14ac:dyDescent="0.2">
      <c r="B72"/>
      <c r="C72"/>
      <c r="D72"/>
      <c r="E72"/>
      <c r="F72"/>
      <c r="G72"/>
      <c r="H72"/>
      <c r="I72"/>
      <c r="J72"/>
      <c r="K72"/>
      <c r="L72"/>
      <c r="M72"/>
      <c r="N72"/>
      <c r="O72"/>
      <c r="P72"/>
      <c r="Q72"/>
      <c r="R72"/>
      <c r="S72"/>
      <c r="T72"/>
      <c r="U72"/>
      <c r="V72"/>
      <c r="W72"/>
      <c r="X72"/>
      <c r="Y72"/>
      <c r="AA72"/>
      <c r="AB72"/>
      <c r="AC72"/>
      <c r="AD72"/>
      <c r="AE72"/>
    </row>
    <row r="73" spans="2:31" x14ac:dyDescent="0.2">
      <c r="B73"/>
      <c r="C73"/>
      <c r="D73"/>
      <c r="E73"/>
      <c r="F73"/>
      <c r="G73"/>
      <c r="H73"/>
      <c r="I73"/>
      <c r="J73"/>
      <c r="K73"/>
      <c r="L73"/>
      <c r="M73"/>
      <c r="N73"/>
      <c r="O73"/>
      <c r="P73"/>
      <c r="Q73"/>
      <c r="R73"/>
      <c r="S73"/>
      <c r="T73"/>
      <c r="U73"/>
      <c r="V73"/>
      <c r="W73"/>
      <c r="X73"/>
      <c r="Y73"/>
      <c r="AA73"/>
      <c r="AB73"/>
      <c r="AC73"/>
      <c r="AD73"/>
      <c r="AE73"/>
    </row>
    <row r="74" spans="2:31" x14ac:dyDescent="0.2">
      <c r="B74"/>
      <c r="C74"/>
      <c r="D74"/>
      <c r="E74"/>
      <c r="F74"/>
      <c r="G74"/>
      <c r="H74"/>
      <c r="I74"/>
      <c r="J74"/>
      <c r="K74"/>
      <c r="L74"/>
      <c r="M74"/>
      <c r="N74"/>
      <c r="O74"/>
      <c r="P74"/>
      <c r="Q74"/>
      <c r="R74"/>
      <c r="S74"/>
      <c r="T74"/>
      <c r="U74"/>
      <c r="V74"/>
      <c r="W74"/>
      <c r="X74"/>
      <c r="Y74"/>
      <c r="AA74"/>
      <c r="AB74"/>
      <c r="AC74"/>
      <c r="AD74"/>
      <c r="AE74"/>
    </row>
    <row r="75" spans="2:31" x14ac:dyDescent="0.2">
      <c r="B75"/>
      <c r="C75"/>
      <c r="D75"/>
      <c r="E75"/>
      <c r="F75"/>
      <c r="G75"/>
      <c r="H75"/>
      <c r="I75"/>
      <c r="J75"/>
      <c r="K75"/>
      <c r="L75"/>
      <c r="M75"/>
      <c r="N75"/>
      <c r="O75"/>
      <c r="P75"/>
      <c r="Q75"/>
      <c r="R75"/>
      <c r="S75"/>
      <c r="T75"/>
      <c r="U75"/>
      <c r="V75"/>
      <c r="W75"/>
      <c r="X75"/>
      <c r="Y75"/>
      <c r="AA75"/>
      <c r="AB75"/>
      <c r="AC75"/>
      <c r="AD75"/>
      <c r="AE75"/>
    </row>
    <row r="76" spans="2:31" x14ac:dyDescent="0.2">
      <c r="B76"/>
      <c r="C76"/>
      <c r="D76"/>
      <c r="E76"/>
      <c r="F76"/>
      <c r="G76"/>
      <c r="H76"/>
      <c r="I76"/>
      <c r="J76"/>
      <c r="K76"/>
      <c r="L76"/>
      <c r="M76"/>
      <c r="N76"/>
      <c r="O76"/>
      <c r="P76"/>
      <c r="Q76"/>
      <c r="R76"/>
      <c r="S76"/>
      <c r="T76"/>
      <c r="U76"/>
      <c r="V76"/>
      <c r="W76"/>
      <c r="X76"/>
      <c r="Y76"/>
      <c r="AA76"/>
      <c r="AB76"/>
      <c r="AC76"/>
      <c r="AD76"/>
      <c r="AE76"/>
    </row>
    <row r="77" spans="2:31" x14ac:dyDescent="0.2">
      <c r="B77"/>
      <c r="C77"/>
      <c r="D77"/>
      <c r="E77"/>
      <c r="F77"/>
      <c r="G77"/>
      <c r="H77"/>
      <c r="I77"/>
      <c r="J77"/>
      <c r="K77"/>
      <c r="L77"/>
      <c r="M77"/>
      <c r="N77"/>
      <c r="O77"/>
      <c r="P77"/>
      <c r="Q77"/>
      <c r="R77"/>
      <c r="S77"/>
      <c r="T77"/>
      <c r="U77"/>
      <c r="V77"/>
      <c r="W77"/>
      <c r="X77"/>
      <c r="Y77"/>
      <c r="AA77"/>
      <c r="AB77"/>
      <c r="AC77"/>
      <c r="AD77"/>
      <c r="AE77"/>
    </row>
    <row r="78" spans="2:31" x14ac:dyDescent="0.2">
      <c r="B78"/>
      <c r="C78"/>
      <c r="D78"/>
      <c r="E78"/>
      <c r="F78"/>
      <c r="G78"/>
      <c r="H78"/>
      <c r="I78"/>
      <c r="J78"/>
      <c r="K78"/>
      <c r="L78"/>
      <c r="M78"/>
      <c r="N78"/>
      <c r="O78"/>
      <c r="P78"/>
      <c r="Q78"/>
      <c r="R78"/>
      <c r="S78"/>
      <c r="T78"/>
      <c r="U78"/>
      <c r="V78"/>
      <c r="W78"/>
      <c r="X78"/>
      <c r="Y78"/>
      <c r="AA78"/>
      <c r="AB78"/>
      <c r="AC78"/>
      <c r="AD78"/>
      <c r="AE78"/>
    </row>
    <row r="79" spans="2:31" x14ac:dyDescent="0.2">
      <c r="B79"/>
      <c r="C79"/>
      <c r="D79"/>
      <c r="E79"/>
      <c r="F79"/>
      <c r="G79"/>
      <c r="H79"/>
      <c r="I79"/>
      <c r="J79"/>
      <c r="K79"/>
      <c r="L79"/>
      <c r="M79"/>
      <c r="N79"/>
      <c r="O79"/>
      <c r="P79"/>
      <c r="Q79"/>
      <c r="R79"/>
      <c r="S79"/>
      <c r="T79"/>
      <c r="U79"/>
      <c r="V79"/>
      <c r="W79"/>
      <c r="X79"/>
      <c r="Y79"/>
      <c r="AA79"/>
      <c r="AB79"/>
      <c r="AC79"/>
      <c r="AD79"/>
      <c r="AE79"/>
    </row>
    <row r="80" spans="2:31" x14ac:dyDescent="0.2">
      <c r="B80"/>
      <c r="C80"/>
      <c r="D80"/>
      <c r="E80"/>
      <c r="F80"/>
      <c r="G80"/>
      <c r="H80"/>
      <c r="I80"/>
      <c r="J80"/>
      <c r="K80"/>
      <c r="L80"/>
      <c r="M80"/>
      <c r="N80"/>
      <c r="O80"/>
      <c r="P80"/>
      <c r="Q80"/>
      <c r="R80"/>
      <c r="S80"/>
      <c r="T80"/>
      <c r="U80"/>
      <c r="V80"/>
      <c r="W80"/>
      <c r="X80"/>
      <c r="Y80"/>
      <c r="AA80"/>
      <c r="AB80"/>
      <c r="AC80"/>
      <c r="AD80"/>
      <c r="AE80"/>
    </row>
    <row r="81" spans="2:31" x14ac:dyDescent="0.2">
      <c r="B81"/>
      <c r="C81"/>
      <c r="D81"/>
      <c r="E81"/>
      <c r="F81"/>
      <c r="G81"/>
      <c r="H81"/>
      <c r="I81"/>
      <c r="J81"/>
      <c r="K81"/>
      <c r="L81"/>
      <c r="M81"/>
      <c r="N81"/>
      <c r="O81"/>
      <c r="P81"/>
      <c r="Q81"/>
      <c r="R81"/>
      <c r="S81"/>
      <c r="T81"/>
      <c r="U81"/>
      <c r="V81"/>
      <c r="W81"/>
      <c r="X81"/>
      <c r="Y81"/>
      <c r="AA81"/>
      <c r="AB81"/>
      <c r="AC81"/>
      <c r="AD81"/>
      <c r="AE81"/>
    </row>
    <row r="82" spans="2:31" x14ac:dyDescent="0.2">
      <c r="B82"/>
      <c r="C82"/>
      <c r="D82"/>
      <c r="E82"/>
      <c r="F82"/>
      <c r="G82"/>
      <c r="H82"/>
      <c r="I82"/>
      <c r="J82"/>
      <c r="K82"/>
      <c r="L82"/>
      <c r="M82"/>
      <c r="N82"/>
      <c r="O82"/>
      <c r="P82"/>
      <c r="Q82"/>
      <c r="R82"/>
      <c r="S82"/>
      <c r="T82"/>
      <c r="U82"/>
      <c r="V82"/>
      <c r="W82"/>
      <c r="X82"/>
      <c r="Y82"/>
      <c r="AA82"/>
      <c r="AB82"/>
      <c r="AC82"/>
      <c r="AD82"/>
      <c r="AE82"/>
    </row>
    <row r="83" spans="2:31" x14ac:dyDescent="0.2">
      <c r="B83"/>
      <c r="C83"/>
      <c r="D83"/>
      <c r="E83"/>
      <c r="F83"/>
      <c r="G83"/>
      <c r="H83"/>
      <c r="I83"/>
      <c r="J83"/>
      <c r="K83"/>
      <c r="L83"/>
      <c r="M83"/>
      <c r="N83"/>
      <c r="O83"/>
      <c r="P83"/>
      <c r="Q83"/>
      <c r="R83"/>
      <c r="S83"/>
      <c r="T83"/>
      <c r="U83"/>
      <c r="V83"/>
      <c r="W83"/>
      <c r="X83"/>
      <c r="Y83"/>
      <c r="AA83"/>
      <c r="AB83"/>
      <c r="AC83"/>
      <c r="AD83"/>
      <c r="AE83"/>
    </row>
    <row r="84" spans="2:31" x14ac:dyDescent="0.2">
      <c r="B84"/>
      <c r="C84"/>
      <c r="D84"/>
      <c r="E84"/>
      <c r="F84"/>
      <c r="G84"/>
      <c r="H84"/>
      <c r="I84"/>
      <c r="J84"/>
      <c r="K84"/>
      <c r="L84"/>
      <c r="M84"/>
      <c r="N84"/>
      <c r="O84"/>
      <c r="P84"/>
      <c r="Q84"/>
      <c r="R84"/>
      <c r="S84"/>
      <c r="T84"/>
      <c r="U84"/>
      <c r="V84"/>
      <c r="W84"/>
      <c r="X84"/>
      <c r="Y84"/>
      <c r="AA84"/>
      <c r="AB84"/>
      <c r="AC84"/>
      <c r="AD84"/>
      <c r="AE84"/>
    </row>
    <row r="85" spans="2:31" x14ac:dyDescent="0.2">
      <c r="B85"/>
      <c r="C85"/>
      <c r="D85"/>
      <c r="E85"/>
      <c r="F85"/>
      <c r="G85"/>
      <c r="H85"/>
      <c r="I85"/>
      <c r="J85"/>
      <c r="K85"/>
      <c r="L85"/>
      <c r="M85"/>
      <c r="N85"/>
      <c r="O85"/>
      <c r="P85"/>
      <c r="Q85"/>
      <c r="R85"/>
      <c r="S85"/>
      <c r="T85"/>
      <c r="U85"/>
      <c r="V85"/>
      <c r="W85"/>
      <c r="X85"/>
    </row>
  </sheetData>
  <mergeCells count="81">
    <mergeCell ref="G41:V42"/>
    <mergeCell ref="Z19:AI19"/>
    <mergeCell ref="Z20:AA20"/>
    <mergeCell ref="AE20:AI20"/>
    <mergeCell ref="Z21:Z23"/>
    <mergeCell ref="AA21:AA23"/>
    <mergeCell ref="AB21:AE21"/>
    <mergeCell ref="AF21:AI21"/>
    <mergeCell ref="AF22:AG22"/>
    <mergeCell ref="AH22:AI22"/>
    <mergeCell ref="R26:V26"/>
    <mergeCell ref="R27:V27"/>
    <mergeCell ref="R28:V28"/>
    <mergeCell ref="R29:V29"/>
    <mergeCell ref="R30:V30"/>
    <mergeCell ref="Y43:Z43"/>
    <mergeCell ref="B43:F43"/>
    <mergeCell ref="G43:H43"/>
    <mergeCell ref="I43:J43"/>
    <mergeCell ref="K43:L43"/>
    <mergeCell ref="M43:N43"/>
    <mergeCell ref="O43:P43"/>
    <mergeCell ref="O44:P44"/>
    <mergeCell ref="Q43:R43"/>
    <mergeCell ref="S43:T43"/>
    <mergeCell ref="U43:V43"/>
    <mergeCell ref="W43:X43"/>
    <mergeCell ref="B44:F44"/>
    <mergeCell ref="G44:H44"/>
    <mergeCell ref="I44:J44"/>
    <mergeCell ref="K44:L44"/>
    <mergeCell ref="M44:N44"/>
    <mergeCell ref="Q44:R44"/>
    <mergeCell ref="S44:T44"/>
    <mergeCell ref="U44:V44"/>
    <mergeCell ref="W44:X44"/>
    <mergeCell ref="Y44:Z44"/>
    <mergeCell ref="Y45:Z45"/>
    <mergeCell ref="B45:F45"/>
    <mergeCell ref="G45:H45"/>
    <mergeCell ref="I45:J45"/>
    <mergeCell ref="K45:L45"/>
    <mergeCell ref="M45:N45"/>
    <mergeCell ref="O45:P45"/>
    <mergeCell ref="O46:P46"/>
    <mergeCell ref="Q45:R45"/>
    <mergeCell ref="S45:T45"/>
    <mergeCell ref="U45:V45"/>
    <mergeCell ref="W45:X45"/>
    <mergeCell ref="B46:F46"/>
    <mergeCell ref="G46:H46"/>
    <mergeCell ref="I46:J46"/>
    <mergeCell ref="K46:L46"/>
    <mergeCell ref="M46:N46"/>
    <mergeCell ref="Q46:R46"/>
    <mergeCell ref="S46:T46"/>
    <mergeCell ref="U46:V46"/>
    <mergeCell ref="W46:X46"/>
    <mergeCell ref="Y46:Z46"/>
    <mergeCell ref="Y47:Z47"/>
    <mergeCell ref="B47:F47"/>
    <mergeCell ref="G47:H47"/>
    <mergeCell ref="I47:J47"/>
    <mergeCell ref="K47:L47"/>
    <mergeCell ref="M47:N47"/>
    <mergeCell ref="O47:P47"/>
    <mergeCell ref="O48:P48"/>
    <mergeCell ref="Q47:R47"/>
    <mergeCell ref="S47:T47"/>
    <mergeCell ref="U47:V47"/>
    <mergeCell ref="W47:X47"/>
    <mergeCell ref="B48:F48"/>
    <mergeCell ref="G48:H48"/>
    <mergeCell ref="I48:J48"/>
    <mergeCell ref="K48:L48"/>
    <mergeCell ref="M48:N48"/>
    <mergeCell ref="Q48:R48"/>
    <mergeCell ref="S48:T48"/>
    <mergeCell ref="U48:V48"/>
    <mergeCell ref="W48:X48"/>
    <mergeCell ref="Y48:Z48"/>
  </mergeCells>
  <conditionalFormatting sqref="C5">
    <cfRule type="cellIs" dxfId="41" priority="14" operator="equal">
      <formula>0</formula>
    </cfRule>
  </conditionalFormatting>
  <conditionalFormatting sqref="H5">
    <cfRule type="cellIs" dxfId="40" priority="12" operator="equal">
      <formula>0</formula>
    </cfRule>
  </conditionalFormatting>
  <conditionalFormatting sqref="H9">
    <cfRule type="cellIs" dxfId="39" priority="13" operator="equal">
      <formula>0</formula>
    </cfRule>
  </conditionalFormatting>
  <conditionalFormatting sqref="H13">
    <cfRule type="cellIs" dxfId="38" priority="11" operator="equal">
      <formula>0</formula>
    </cfRule>
  </conditionalFormatting>
  <conditionalFormatting sqref="L5">
    <cfRule type="cellIs" dxfId="37" priority="10" operator="equal">
      <formula>0</formula>
    </cfRule>
  </conditionalFormatting>
  <conditionalFormatting sqref="P5">
    <cfRule type="cellIs" dxfId="36" priority="9" operator="equal">
      <formula>0</formula>
    </cfRule>
  </conditionalFormatting>
  <conditionalFormatting sqref="P9">
    <cfRule type="cellIs" dxfId="35" priority="8" operator="equal">
      <formula>0</formula>
    </cfRule>
  </conditionalFormatting>
  <conditionalFormatting sqref="T9">
    <cfRule type="cellIs" dxfId="34" priority="7" operator="equal">
      <formula>0</formula>
    </cfRule>
  </conditionalFormatting>
  <conditionalFormatting sqref="X9">
    <cfRule type="cellIs" dxfId="33" priority="6" operator="equal">
      <formula>0</formula>
    </cfRule>
  </conditionalFormatting>
  <conditionalFormatting sqref="X13">
    <cfRule type="cellIs" dxfId="32" priority="4" operator="equal">
      <formula>0</formula>
    </cfRule>
  </conditionalFormatting>
  <conditionalFormatting sqref="AB9">
    <cfRule type="cellIs" dxfId="31" priority="5" operator="equal">
      <formula>0</formula>
    </cfRule>
  </conditionalFormatting>
  <conditionalFormatting sqref="AB13">
    <cfRule type="cellIs" dxfId="30" priority="3" operator="equal">
      <formula>0</formula>
    </cfRule>
  </conditionalFormatting>
  <conditionalFormatting sqref="AF6">
    <cfRule type="cellIs" dxfId="29" priority="1" operator="equal">
      <formula>0</formula>
    </cfRule>
  </conditionalFormatting>
  <conditionalFormatting sqref="AF12">
    <cfRule type="cellIs" dxfId="28" priority="2" operator="equal">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F75F-F02C-CE46-8BC0-7C529430C085}">
  <dimension ref="B1:AW73"/>
  <sheetViews>
    <sheetView showGridLines="0" zoomScale="113" zoomScaleNormal="100" workbookViewId="0">
      <selection activeCell="U14" sqref="U14"/>
    </sheetView>
  </sheetViews>
  <sheetFormatPr baseColWidth="10" defaultColWidth="8.83203125" defaultRowHeight="15" x14ac:dyDescent="0.2"/>
  <cols>
    <col min="1" max="1" width="2.6640625" customWidth="1"/>
    <col min="2" max="2" width="15.33203125" bestFit="1" customWidth="1"/>
    <col min="3" max="3" width="39.5" style="1" bestFit="1" customWidth="1"/>
    <col min="4" max="4" width="15.1640625" customWidth="1"/>
    <col min="5" max="5" width="14.6640625" customWidth="1"/>
    <col min="6" max="6" width="12.1640625" bestFit="1" customWidth="1"/>
    <col min="7" max="7" width="11.5" bestFit="1" customWidth="1"/>
    <col min="8" max="8" width="10.1640625" bestFit="1" customWidth="1"/>
    <col min="9" max="9" width="10.33203125" bestFit="1" customWidth="1"/>
    <col min="10" max="10" width="6.5" bestFit="1" customWidth="1"/>
    <col min="11" max="11" width="12.33203125" bestFit="1" customWidth="1"/>
    <col min="12" max="12" width="12.33203125" customWidth="1"/>
    <col min="13" max="13" width="3.5" customWidth="1"/>
    <col min="14" max="14" width="2.83203125" customWidth="1"/>
    <col min="15" max="15" width="5.33203125" style="2" bestFit="1" customWidth="1"/>
    <col min="16" max="16" width="4.83203125" style="2" customWidth="1"/>
    <col min="17" max="17" width="5.5" style="2" bestFit="1" customWidth="1"/>
    <col min="18" max="18" width="4.83203125" style="2" customWidth="1"/>
    <col min="19" max="19" width="5.33203125" style="2" bestFit="1" customWidth="1"/>
    <col min="20" max="21" width="5.5" style="2" bestFit="1" customWidth="1"/>
    <col min="22" max="28" width="5.5" style="2" customWidth="1"/>
    <col min="29" max="32" width="5.5" style="2" bestFit="1" customWidth="1"/>
    <col min="33" max="33" width="4.83203125" style="2" customWidth="1"/>
    <col min="34" max="34" width="5.5" style="2" bestFit="1" customWidth="1"/>
    <col min="35" max="35" width="4.5" style="2" bestFit="1" customWidth="1"/>
    <col min="36" max="36" width="5.5" style="2" bestFit="1" customWidth="1"/>
    <col min="37" max="37" width="5.83203125" style="2" customWidth="1"/>
    <col min="38" max="40" width="5.5" style="2" bestFit="1" customWidth="1"/>
    <col min="41" max="41" width="4.83203125" style="2" customWidth="1"/>
    <col min="42" max="42" width="5.5" style="2" bestFit="1" customWidth="1"/>
    <col min="43" max="43" width="4.83203125" style="2" customWidth="1"/>
    <col min="44" max="44" width="5.5" style="2" bestFit="1" customWidth="1"/>
    <col min="45" max="45" width="4.83203125" style="2" customWidth="1"/>
    <col min="46" max="48" width="5.5" style="2" bestFit="1" customWidth="1"/>
    <col min="49" max="49" width="3.33203125" customWidth="1"/>
  </cols>
  <sheetData>
    <row r="1" spans="2:49" ht="16" thickBot="1" x14ac:dyDescent="0.25"/>
    <row r="2" spans="2:49" ht="16" thickBot="1" x14ac:dyDescent="0.25">
      <c r="N2" s="7"/>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6"/>
    </row>
    <row r="3" spans="2:49" x14ac:dyDescent="0.2">
      <c r="B3" s="63" t="s">
        <v>0</v>
      </c>
      <c r="C3" s="63" t="s">
        <v>1</v>
      </c>
      <c r="D3" s="63" t="s">
        <v>2</v>
      </c>
      <c r="F3" s="55" t="s">
        <v>0</v>
      </c>
      <c r="G3" s="56" t="s">
        <v>13</v>
      </c>
      <c r="H3" s="56" t="s">
        <v>14</v>
      </c>
      <c r="I3" s="57" t="s">
        <v>15</v>
      </c>
      <c r="J3" s="58" t="s">
        <v>71</v>
      </c>
      <c r="K3" s="85" t="s">
        <v>17</v>
      </c>
      <c r="L3" s="87" t="s">
        <v>30</v>
      </c>
      <c r="M3" s="6"/>
      <c r="N3" s="8"/>
      <c r="AW3" s="9"/>
    </row>
    <row r="4" spans="2:49" ht="22" x14ac:dyDescent="0.2">
      <c r="B4" s="19" t="s">
        <v>125</v>
      </c>
      <c r="C4" s="19" t="s">
        <v>79</v>
      </c>
      <c r="D4" s="61" t="s">
        <v>4</v>
      </c>
      <c r="F4" s="19">
        <v>1</v>
      </c>
      <c r="G4" s="19">
        <v>1</v>
      </c>
      <c r="H4" s="19">
        <v>2</v>
      </c>
      <c r="I4" s="19">
        <v>3</v>
      </c>
      <c r="J4" s="93">
        <f>ROUND((G4+4*H4+I4)/6,0)</f>
        <v>2</v>
      </c>
      <c r="K4" s="86">
        <f t="shared" ref="K4:K18" si="0">((I4-G4)/6)^2</f>
        <v>0.1111111111111111</v>
      </c>
      <c r="L4" s="88" t="s">
        <v>33</v>
      </c>
      <c r="M4" s="5"/>
      <c r="N4" s="8"/>
      <c r="O4" s="37">
        <v>0</v>
      </c>
      <c r="P4" s="37"/>
      <c r="Q4" s="37">
        <f>O4+P6</f>
        <v>2</v>
      </c>
      <c r="R4" s="94"/>
      <c r="S4" s="94"/>
      <c r="T4" s="37">
        <f>Q4</f>
        <v>2</v>
      </c>
      <c r="U4" s="37"/>
      <c r="V4" s="37">
        <f>T4+U6</f>
        <v>8</v>
      </c>
      <c r="W4" s="94"/>
      <c r="X4" s="37">
        <f>V4</f>
        <v>8</v>
      </c>
      <c r="Y4" s="37"/>
      <c r="Z4" s="37">
        <f>X4+Y6</f>
        <v>13</v>
      </c>
      <c r="AA4" s="94"/>
      <c r="AB4" s="37">
        <f>Z4</f>
        <v>13</v>
      </c>
      <c r="AC4" s="37"/>
      <c r="AD4" s="37">
        <f>AB4+AC6</f>
        <v>22</v>
      </c>
      <c r="AE4" s="94"/>
      <c r="AF4" s="94"/>
      <c r="AG4" s="94"/>
      <c r="AH4" s="94"/>
      <c r="AI4" s="94"/>
      <c r="AJ4" s="94"/>
      <c r="AK4" s="94"/>
      <c r="AL4" s="94"/>
      <c r="AM4" s="94"/>
      <c r="AN4" s="94"/>
      <c r="AO4" s="94"/>
      <c r="AP4" s="94"/>
      <c r="AQ4" s="94"/>
      <c r="AR4" s="94"/>
      <c r="AS4" s="94"/>
      <c r="AT4" s="94"/>
      <c r="AU4" s="94"/>
      <c r="AV4" s="94"/>
      <c r="AW4" s="95"/>
    </row>
    <row r="5" spans="2:49" x14ac:dyDescent="0.2">
      <c r="B5" s="19" t="s">
        <v>126</v>
      </c>
      <c r="C5" s="19" t="s">
        <v>80</v>
      </c>
      <c r="D5" s="61">
        <v>1</v>
      </c>
      <c r="F5" s="19">
        <v>2</v>
      </c>
      <c r="G5" s="19">
        <v>4</v>
      </c>
      <c r="H5" s="19">
        <v>6</v>
      </c>
      <c r="I5" s="19">
        <v>10</v>
      </c>
      <c r="J5" s="93">
        <f t="shared" ref="J5:J18" si="1">ROUND((G5+4*H5+I5)/6,0)</f>
        <v>6</v>
      </c>
      <c r="K5" s="86">
        <f t="shared" si="0"/>
        <v>1</v>
      </c>
      <c r="L5" s="59"/>
      <c r="M5" s="5"/>
      <c r="N5" s="8"/>
      <c r="O5" s="37">
        <f>O6-O4</f>
        <v>0</v>
      </c>
      <c r="P5" s="119" t="s">
        <v>3</v>
      </c>
      <c r="Q5" s="37">
        <f>Q6-Q4</f>
        <v>0</v>
      </c>
      <c r="R5" s="94"/>
      <c r="S5" s="94"/>
      <c r="T5" s="37">
        <f>T6-T4</f>
        <v>3</v>
      </c>
      <c r="U5" s="96" t="s">
        <v>5</v>
      </c>
      <c r="V5" s="37">
        <f>V6-V4</f>
        <v>3</v>
      </c>
      <c r="W5" s="94"/>
      <c r="X5" s="37">
        <f>X6-X4</f>
        <v>3</v>
      </c>
      <c r="Y5" s="96" t="s">
        <v>9</v>
      </c>
      <c r="Z5" s="37">
        <f>Z6-Z4</f>
        <v>3</v>
      </c>
      <c r="AA5" s="94"/>
      <c r="AB5" s="37">
        <f>AB6-AB4</f>
        <v>3</v>
      </c>
      <c r="AC5" s="96" t="s">
        <v>10</v>
      </c>
      <c r="AD5" s="37">
        <f>AD6-AD4</f>
        <v>3</v>
      </c>
      <c r="AE5" s="94"/>
      <c r="AF5" s="94"/>
      <c r="AG5" s="94"/>
      <c r="AH5" s="94"/>
      <c r="AI5" s="94"/>
      <c r="AJ5" s="94"/>
      <c r="AK5" s="94"/>
      <c r="AL5" s="94"/>
      <c r="AM5" s="94"/>
      <c r="AN5" s="94"/>
      <c r="AO5" s="94"/>
      <c r="AP5" s="94"/>
      <c r="AQ5" s="94"/>
      <c r="AR5" s="37">
        <f>MAX(AP8,AL8)</f>
        <v>34</v>
      </c>
      <c r="AS5" s="37"/>
      <c r="AT5" s="37">
        <f>AR5+AS7</f>
        <v>35</v>
      </c>
      <c r="AU5" s="94"/>
      <c r="AV5" s="94"/>
      <c r="AW5" s="95"/>
    </row>
    <row r="6" spans="2:49" ht="22" x14ac:dyDescent="0.2">
      <c r="B6" s="19" t="s">
        <v>127</v>
      </c>
      <c r="C6" s="19" t="s">
        <v>81</v>
      </c>
      <c r="D6" s="61">
        <v>1</v>
      </c>
      <c r="F6" s="19">
        <v>3</v>
      </c>
      <c r="G6" s="19">
        <v>3</v>
      </c>
      <c r="H6" s="19">
        <v>6</v>
      </c>
      <c r="I6" s="19">
        <v>12</v>
      </c>
      <c r="J6" s="93">
        <f>FLOOR((G6+4*H6+I6)/6,1)</f>
        <v>6</v>
      </c>
      <c r="K6" s="86">
        <f t="shared" si="0"/>
        <v>2.25</v>
      </c>
      <c r="L6" s="88" t="s">
        <v>33</v>
      </c>
      <c r="M6" s="5"/>
      <c r="N6" s="8"/>
      <c r="O6" s="37">
        <f>Q6-P6</f>
        <v>0</v>
      </c>
      <c r="P6" s="37">
        <f>J4</f>
        <v>2</v>
      </c>
      <c r="Q6" s="37">
        <f>MIN(T6,T10,T14)</f>
        <v>2</v>
      </c>
      <c r="R6" s="94"/>
      <c r="S6" s="94"/>
      <c r="T6" s="37">
        <f>V6-U6</f>
        <v>5</v>
      </c>
      <c r="U6" s="37">
        <f>J5</f>
        <v>6</v>
      </c>
      <c r="V6" s="37">
        <f>MIN(AF10,X6)</f>
        <v>11</v>
      </c>
      <c r="W6" s="94"/>
      <c r="X6" s="37">
        <f>Z6-Y6</f>
        <v>11</v>
      </c>
      <c r="Y6" s="37">
        <f>J9</f>
        <v>5</v>
      </c>
      <c r="Z6" s="37">
        <f>AB6</f>
        <v>16</v>
      </c>
      <c r="AA6" s="94"/>
      <c r="AB6" s="37">
        <f>AD6-AC6</f>
        <v>16</v>
      </c>
      <c r="AC6" s="37">
        <f>J10</f>
        <v>9</v>
      </c>
      <c r="AD6" s="37">
        <f>AN10</f>
        <v>25</v>
      </c>
      <c r="AE6" s="94"/>
      <c r="AF6" s="94"/>
      <c r="AG6" s="94"/>
      <c r="AH6" s="94"/>
      <c r="AI6" s="94"/>
      <c r="AJ6" s="94"/>
      <c r="AK6" s="94"/>
      <c r="AL6" s="94"/>
      <c r="AM6" s="94"/>
      <c r="AN6" s="94"/>
      <c r="AO6" s="94"/>
      <c r="AP6" s="94"/>
      <c r="AQ6" s="94"/>
      <c r="AR6" s="37">
        <f>AR7-AR5</f>
        <v>0</v>
      </c>
      <c r="AS6" s="119" t="s">
        <v>144</v>
      </c>
      <c r="AT6" s="37">
        <f>AT7-AT5</f>
        <v>0</v>
      </c>
      <c r="AU6" s="94"/>
      <c r="AV6" s="94"/>
      <c r="AW6" s="95"/>
    </row>
    <row r="7" spans="2:49" ht="21" x14ac:dyDescent="0.2">
      <c r="B7" s="19" t="s">
        <v>128</v>
      </c>
      <c r="C7" s="19" t="s">
        <v>82</v>
      </c>
      <c r="D7" s="61">
        <v>1</v>
      </c>
      <c r="F7" s="19">
        <v>4</v>
      </c>
      <c r="G7" s="19">
        <v>0</v>
      </c>
      <c r="H7" s="19">
        <v>1</v>
      </c>
      <c r="I7" s="19">
        <v>2</v>
      </c>
      <c r="J7" s="93">
        <f>FLOOR((G7+4*H7+I7)/6,1)</f>
        <v>1</v>
      </c>
      <c r="K7" s="86">
        <f t="shared" si="0"/>
        <v>0.1111111111111111</v>
      </c>
      <c r="L7" s="88"/>
      <c r="M7" s="5"/>
      <c r="N7" s="8"/>
      <c r="O7" s="94"/>
      <c r="P7" s="97"/>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37">
        <f>AT7-AS7</f>
        <v>34</v>
      </c>
      <c r="AS7" s="37">
        <v>1</v>
      </c>
      <c r="AT7" s="37">
        <f>AR13</f>
        <v>35</v>
      </c>
      <c r="AU7" s="94"/>
      <c r="AV7" s="94"/>
      <c r="AW7" s="95"/>
    </row>
    <row r="8" spans="2:49" x14ac:dyDescent="0.2">
      <c r="B8" s="104" t="s">
        <v>129</v>
      </c>
      <c r="C8" s="19" t="s">
        <v>83</v>
      </c>
      <c r="D8" s="61">
        <v>4</v>
      </c>
      <c r="F8" s="19">
        <v>5</v>
      </c>
      <c r="G8" s="19">
        <v>6</v>
      </c>
      <c r="H8" s="19">
        <v>10</v>
      </c>
      <c r="I8" s="19">
        <v>16</v>
      </c>
      <c r="J8" s="93">
        <f t="shared" si="1"/>
        <v>10</v>
      </c>
      <c r="K8" s="86">
        <f t="shared" si="0"/>
        <v>2.7777777777777781</v>
      </c>
      <c r="L8" s="59"/>
      <c r="M8" s="5"/>
      <c r="N8" s="8"/>
      <c r="O8" s="94"/>
      <c r="P8" s="94"/>
      <c r="Q8" s="94"/>
      <c r="R8" s="94"/>
      <c r="S8" s="94"/>
      <c r="T8" s="37">
        <f>Q4</f>
        <v>2</v>
      </c>
      <c r="U8" s="37"/>
      <c r="V8" s="37">
        <f>T8+U10</f>
        <v>8</v>
      </c>
      <c r="W8" s="94"/>
      <c r="X8" s="94"/>
      <c r="Y8" s="94"/>
      <c r="Z8" s="94"/>
      <c r="AA8" s="94"/>
      <c r="AB8" s="37">
        <f>V8</f>
        <v>8</v>
      </c>
      <c r="AC8" s="37"/>
      <c r="AD8" s="37">
        <f>AB8+AC10</f>
        <v>15</v>
      </c>
      <c r="AE8" s="94"/>
      <c r="AF8" s="37">
        <f>MAX(AD8,V4)</f>
        <v>15</v>
      </c>
      <c r="AG8" s="37"/>
      <c r="AH8" s="37">
        <f>AF8+AG10</f>
        <v>22</v>
      </c>
      <c r="AI8" s="94"/>
      <c r="AJ8" s="37">
        <f>AH8</f>
        <v>22</v>
      </c>
      <c r="AK8" s="37"/>
      <c r="AL8" s="37">
        <f>AJ8+AK10</f>
        <v>34</v>
      </c>
      <c r="AM8" s="94"/>
      <c r="AN8" s="37">
        <f>MAX(Z12,AD4,AP12)</f>
        <v>22</v>
      </c>
      <c r="AO8" s="37"/>
      <c r="AP8" s="37">
        <f>AN8+AO10</f>
        <v>31</v>
      </c>
      <c r="AQ8" s="94"/>
      <c r="AR8" s="94"/>
      <c r="AS8" s="94"/>
      <c r="AT8" s="94"/>
      <c r="AU8" s="94"/>
      <c r="AV8" s="94"/>
      <c r="AW8" s="95"/>
    </row>
    <row r="9" spans="2:49" x14ac:dyDescent="0.2">
      <c r="B9" s="19" t="s">
        <v>130</v>
      </c>
      <c r="C9" s="19" t="s">
        <v>84</v>
      </c>
      <c r="D9" s="61">
        <v>2</v>
      </c>
      <c r="F9" s="19">
        <v>6</v>
      </c>
      <c r="G9" s="19">
        <v>3</v>
      </c>
      <c r="H9" s="19">
        <v>5</v>
      </c>
      <c r="I9" s="19">
        <v>9</v>
      </c>
      <c r="J9" s="93">
        <f t="shared" si="1"/>
        <v>5</v>
      </c>
      <c r="K9" s="86">
        <f t="shared" si="0"/>
        <v>1</v>
      </c>
      <c r="L9" s="59"/>
      <c r="M9" s="5"/>
      <c r="N9" s="8"/>
      <c r="O9" s="94"/>
      <c r="P9" s="94"/>
      <c r="Q9" s="94"/>
      <c r="R9" s="94"/>
      <c r="S9" s="94"/>
      <c r="T9" s="37">
        <f>T10-T8</f>
        <v>0</v>
      </c>
      <c r="U9" s="96" t="s">
        <v>6</v>
      </c>
      <c r="V9" s="37">
        <f>V10-V8</f>
        <v>0</v>
      </c>
      <c r="W9" s="94"/>
      <c r="X9" s="94"/>
      <c r="Y9" s="94"/>
      <c r="Z9" s="94"/>
      <c r="AA9" s="94"/>
      <c r="AB9" s="37">
        <f>AB10-AB8</f>
        <v>0</v>
      </c>
      <c r="AC9" s="96" t="s">
        <v>11</v>
      </c>
      <c r="AD9" s="37">
        <f>AD10-AD8</f>
        <v>0</v>
      </c>
      <c r="AE9" s="94"/>
      <c r="AF9" s="37">
        <f>AF10-AF8</f>
        <v>0</v>
      </c>
      <c r="AG9" s="96" t="s">
        <v>12</v>
      </c>
      <c r="AH9" s="37">
        <f>AH10-AH8</f>
        <v>0</v>
      </c>
      <c r="AI9" s="94"/>
      <c r="AJ9" s="37">
        <f>AJ10-AJ8</f>
        <v>0</v>
      </c>
      <c r="AK9" s="96" t="s">
        <v>140</v>
      </c>
      <c r="AL9" s="37">
        <f>AL10-AL8</f>
        <v>0</v>
      </c>
      <c r="AM9" s="94"/>
      <c r="AN9" s="37">
        <f>AN10-AN8</f>
        <v>3</v>
      </c>
      <c r="AO9" s="119" t="s">
        <v>143</v>
      </c>
      <c r="AP9" s="37">
        <f>AP10-AP8</f>
        <v>3</v>
      </c>
      <c r="AQ9" s="94"/>
      <c r="AR9" s="94"/>
      <c r="AS9" s="94"/>
      <c r="AT9" s="94"/>
      <c r="AU9" s="94"/>
      <c r="AV9" s="94"/>
      <c r="AW9" s="95"/>
    </row>
    <row r="10" spans="2:49" x14ac:dyDescent="0.2">
      <c r="B10" s="19" t="s">
        <v>131</v>
      </c>
      <c r="C10" s="19" t="s">
        <v>85</v>
      </c>
      <c r="D10" s="61">
        <v>6</v>
      </c>
      <c r="F10" s="19">
        <v>7</v>
      </c>
      <c r="G10" s="19">
        <v>5</v>
      </c>
      <c r="H10" s="19">
        <v>9</v>
      </c>
      <c r="I10" s="19">
        <v>18</v>
      </c>
      <c r="J10" s="93">
        <f>FLOOR((G10+4*H10+I10)/6,1)</f>
        <v>9</v>
      </c>
      <c r="K10" s="86">
        <f t="shared" si="0"/>
        <v>4.6944444444444438</v>
      </c>
      <c r="L10" s="59"/>
      <c r="M10" s="5"/>
      <c r="N10" s="8"/>
      <c r="O10" s="94"/>
      <c r="P10" s="94"/>
      <c r="Q10" s="94"/>
      <c r="R10" s="94"/>
      <c r="S10" s="94"/>
      <c r="T10" s="37">
        <f>V10-U10</f>
        <v>2</v>
      </c>
      <c r="U10" s="37">
        <f>J6</f>
        <v>6</v>
      </c>
      <c r="V10" s="37">
        <f>AB10</f>
        <v>8</v>
      </c>
      <c r="W10" s="94"/>
      <c r="X10" s="94"/>
      <c r="Y10" s="94"/>
      <c r="Z10" s="94"/>
      <c r="AA10" s="94"/>
      <c r="AB10" s="37">
        <f>AD10-AC10</f>
        <v>8</v>
      </c>
      <c r="AC10" s="37">
        <f>J11</f>
        <v>7</v>
      </c>
      <c r="AD10" s="37">
        <f>AF10</f>
        <v>15</v>
      </c>
      <c r="AE10" s="94"/>
      <c r="AF10" s="37">
        <f>AH10-AG10</f>
        <v>15</v>
      </c>
      <c r="AG10" s="37">
        <f>J12</f>
        <v>7</v>
      </c>
      <c r="AH10" s="37">
        <f>AJ10</f>
        <v>22</v>
      </c>
      <c r="AI10" s="94"/>
      <c r="AJ10" s="37">
        <f>AL10-AK10</f>
        <v>22</v>
      </c>
      <c r="AK10" s="37">
        <f>J13</f>
        <v>12</v>
      </c>
      <c r="AL10" s="37">
        <f>AR7</f>
        <v>34</v>
      </c>
      <c r="AM10" s="94"/>
      <c r="AN10" s="37">
        <f>AP10-AO10</f>
        <v>25</v>
      </c>
      <c r="AO10" s="37">
        <f>J16</f>
        <v>9</v>
      </c>
      <c r="AP10" s="37">
        <f>AR7</f>
        <v>34</v>
      </c>
      <c r="AQ10" s="94"/>
      <c r="AR10" s="94"/>
      <c r="AS10" s="94"/>
      <c r="AT10" s="94"/>
      <c r="AU10" s="94"/>
      <c r="AV10" s="94"/>
      <c r="AW10" s="95"/>
    </row>
    <row r="11" spans="2:49" ht="22" x14ac:dyDescent="0.2">
      <c r="B11" s="19" t="s">
        <v>132</v>
      </c>
      <c r="C11" s="19" t="s">
        <v>86</v>
      </c>
      <c r="D11" s="61">
        <v>3</v>
      </c>
      <c r="F11" s="19">
        <v>8</v>
      </c>
      <c r="G11" s="19">
        <v>4</v>
      </c>
      <c r="H11" s="19">
        <v>7</v>
      </c>
      <c r="I11" s="19">
        <v>13</v>
      </c>
      <c r="J11" s="93">
        <f>FLOOR((G11+4*H11+I11)/6,1)</f>
        <v>7</v>
      </c>
      <c r="K11" s="86">
        <f t="shared" si="0"/>
        <v>2.25</v>
      </c>
      <c r="L11" s="88" t="s">
        <v>33</v>
      </c>
      <c r="M11" s="5"/>
      <c r="N11" s="8"/>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37">
        <f>AT5</f>
        <v>35</v>
      </c>
      <c r="AS11" s="37"/>
      <c r="AT11" s="37">
        <f>AR11+AS13</f>
        <v>40</v>
      </c>
      <c r="AU11" s="94"/>
      <c r="AV11" s="94"/>
      <c r="AW11" s="95"/>
    </row>
    <row r="12" spans="2:49" ht="22" x14ac:dyDescent="0.2">
      <c r="B12" s="19" t="s">
        <v>133</v>
      </c>
      <c r="C12" s="19" t="s">
        <v>87</v>
      </c>
      <c r="D12" s="61" t="s">
        <v>77</v>
      </c>
      <c r="F12" s="19">
        <v>9</v>
      </c>
      <c r="G12" s="19">
        <v>4</v>
      </c>
      <c r="H12" s="19">
        <v>7</v>
      </c>
      <c r="I12" s="19">
        <v>11</v>
      </c>
      <c r="J12" s="93">
        <f t="shared" si="1"/>
        <v>7</v>
      </c>
      <c r="K12" s="86">
        <f t="shared" si="0"/>
        <v>1.3611111111111114</v>
      </c>
      <c r="L12" s="88" t="s">
        <v>33</v>
      </c>
      <c r="M12" s="5"/>
      <c r="N12" s="8"/>
      <c r="O12" s="94"/>
      <c r="P12" s="94"/>
      <c r="Q12" s="94"/>
      <c r="R12" s="94"/>
      <c r="S12" s="94"/>
      <c r="T12" s="37">
        <f>Q4</f>
        <v>2</v>
      </c>
      <c r="U12" s="98"/>
      <c r="V12" s="37">
        <f>T12+U14</f>
        <v>3</v>
      </c>
      <c r="W12" s="94"/>
      <c r="X12" s="37">
        <f>V12</f>
        <v>3</v>
      </c>
      <c r="Y12" s="37"/>
      <c r="Z12" s="37">
        <f>X12+Y14</f>
        <v>13</v>
      </c>
      <c r="AA12" s="94"/>
      <c r="AB12" s="94"/>
      <c r="AC12" s="94"/>
      <c r="AD12" s="94"/>
      <c r="AE12" s="94"/>
      <c r="AF12" s="94"/>
      <c r="AG12" s="94"/>
      <c r="AH12" s="94"/>
      <c r="AI12" s="94"/>
      <c r="AJ12" s="37">
        <f>V12</f>
        <v>3</v>
      </c>
      <c r="AK12" s="37"/>
      <c r="AL12" s="37">
        <f>AJ12+AK14</f>
        <v>12</v>
      </c>
      <c r="AM12" s="94"/>
      <c r="AN12" s="37">
        <f>AL12</f>
        <v>12</v>
      </c>
      <c r="AO12" s="37"/>
      <c r="AP12" s="37">
        <f>AN12+AO14</f>
        <v>19</v>
      </c>
      <c r="AQ12" s="94"/>
      <c r="AR12" s="37">
        <f>AR13-AR11</f>
        <v>0</v>
      </c>
      <c r="AS12" s="119">
        <v>15</v>
      </c>
      <c r="AT12" s="37">
        <f>AT13-AT11</f>
        <v>0</v>
      </c>
      <c r="AU12" s="94"/>
      <c r="AV12" s="94"/>
      <c r="AW12" s="95"/>
    </row>
    <row r="13" spans="2:49" ht="22" x14ac:dyDescent="0.2">
      <c r="B13" s="19" t="s">
        <v>134</v>
      </c>
      <c r="C13" s="19" t="s">
        <v>91</v>
      </c>
      <c r="D13" s="61">
        <v>9</v>
      </c>
      <c r="F13" s="19">
        <v>10</v>
      </c>
      <c r="G13" s="19">
        <v>7</v>
      </c>
      <c r="H13" s="19">
        <v>12</v>
      </c>
      <c r="I13" s="19">
        <v>20</v>
      </c>
      <c r="J13" s="93">
        <f>FLOOR((G13+4*H13+I13)/6,1)</f>
        <v>12</v>
      </c>
      <c r="K13" s="86">
        <f t="shared" si="0"/>
        <v>4.6944444444444438</v>
      </c>
      <c r="L13" s="88" t="s">
        <v>33</v>
      </c>
      <c r="M13" s="5"/>
      <c r="N13" s="8"/>
      <c r="O13" s="94"/>
      <c r="P13" s="94"/>
      <c r="Q13" s="94"/>
      <c r="R13" s="94"/>
      <c r="S13" s="94"/>
      <c r="T13" s="37">
        <f>T14-T12</f>
        <v>6</v>
      </c>
      <c r="U13" s="119" t="s">
        <v>7</v>
      </c>
      <c r="V13" s="37">
        <f>V14-V12</f>
        <v>6</v>
      </c>
      <c r="W13" s="94"/>
      <c r="X13" s="37">
        <f>X14-X12</f>
        <v>12</v>
      </c>
      <c r="Y13" s="96" t="s">
        <v>8</v>
      </c>
      <c r="Z13" s="37">
        <f>Z14-Z12</f>
        <v>12</v>
      </c>
      <c r="AA13" s="94"/>
      <c r="AB13" s="94"/>
      <c r="AC13" s="94"/>
      <c r="AD13" s="94"/>
      <c r="AE13" s="94"/>
      <c r="AF13" s="94"/>
      <c r="AG13" s="94"/>
      <c r="AH13" s="94"/>
      <c r="AI13" s="94"/>
      <c r="AJ13" s="37">
        <f>AJ14-AJ12</f>
        <v>6</v>
      </c>
      <c r="AK13" s="119" t="s">
        <v>141</v>
      </c>
      <c r="AL13" s="37">
        <f>AL14-AL12</f>
        <v>6</v>
      </c>
      <c r="AM13" s="94"/>
      <c r="AN13" s="37">
        <f>AN14-AN12</f>
        <v>6</v>
      </c>
      <c r="AO13" s="119" t="s">
        <v>142</v>
      </c>
      <c r="AP13" s="37">
        <f>AP14-AP12</f>
        <v>6</v>
      </c>
      <c r="AQ13" s="94"/>
      <c r="AR13" s="37">
        <f>AT13-AS13</f>
        <v>35</v>
      </c>
      <c r="AS13" s="37">
        <v>5</v>
      </c>
      <c r="AT13" s="37">
        <f>AT11</f>
        <v>40</v>
      </c>
      <c r="AU13" s="94"/>
      <c r="AV13" s="94"/>
      <c r="AW13" s="95"/>
    </row>
    <row r="14" spans="2:49" ht="21" x14ac:dyDescent="0.2">
      <c r="B14" s="19" t="s">
        <v>135</v>
      </c>
      <c r="C14" s="19" t="s">
        <v>92</v>
      </c>
      <c r="D14" s="61">
        <v>4</v>
      </c>
      <c r="F14" s="19">
        <v>11</v>
      </c>
      <c r="G14" s="19">
        <v>6</v>
      </c>
      <c r="H14" s="19">
        <v>9</v>
      </c>
      <c r="I14" s="19">
        <v>14</v>
      </c>
      <c r="J14" s="93">
        <f t="shared" si="1"/>
        <v>9</v>
      </c>
      <c r="K14" s="86">
        <f t="shared" si="0"/>
        <v>1.7777777777777777</v>
      </c>
      <c r="L14" s="88"/>
      <c r="M14" s="5"/>
      <c r="N14" s="8"/>
      <c r="O14" s="94"/>
      <c r="P14" s="94"/>
      <c r="Q14" s="94"/>
      <c r="R14" s="94"/>
      <c r="S14" s="94"/>
      <c r="T14" s="37">
        <f>V14-U14</f>
        <v>8</v>
      </c>
      <c r="U14" s="37">
        <f>J7</f>
        <v>1</v>
      </c>
      <c r="V14" s="37">
        <f>MIN(AJ14,X14)</f>
        <v>9</v>
      </c>
      <c r="W14" s="94"/>
      <c r="X14" s="37">
        <f>Z14-Y14</f>
        <v>15</v>
      </c>
      <c r="Y14" s="37">
        <f>J8</f>
        <v>10</v>
      </c>
      <c r="Z14" s="37">
        <f>AN10</f>
        <v>25</v>
      </c>
      <c r="AA14" s="94"/>
      <c r="AB14" s="94"/>
      <c r="AC14" s="94"/>
      <c r="AD14" s="94"/>
      <c r="AE14" s="94"/>
      <c r="AF14" s="94"/>
      <c r="AG14" s="94"/>
      <c r="AH14" s="94"/>
      <c r="AI14" s="94"/>
      <c r="AJ14" s="37">
        <f>AL14-AK14</f>
        <v>9</v>
      </c>
      <c r="AK14" s="37">
        <f>J14</f>
        <v>9</v>
      </c>
      <c r="AL14" s="37">
        <f>AN14</f>
        <v>18</v>
      </c>
      <c r="AM14" s="94"/>
      <c r="AN14" s="37">
        <f>AP14-AO14</f>
        <v>18</v>
      </c>
      <c r="AO14" s="37">
        <f>J15</f>
        <v>7</v>
      </c>
      <c r="AP14" s="37">
        <f>AN10</f>
        <v>25</v>
      </c>
      <c r="AQ14" s="94"/>
      <c r="AR14" s="94"/>
      <c r="AS14" s="94"/>
      <c r="AT14" s="94"/>
      <c r="AU14" s="94"/>
      <c r="AV14" s="94"/>
      <c r="AW14" s="95"/>
    </row>
    <row r="15" spans="2:49" ht="21" x14ac:dyDescent="0.2">
      <c r="B15" s="19" t="s">
        <v>136</v>
      </c>
      <c r="C15" s="19" t="s">
        <v>88</v>
      </c>
      <c r="D15" s="61">
        <v>11</v>
      </c>
      <c r="F15" s="19">
        <v>12</v>
      </c>
      <c r="G15" s="19">
        <v>4</v>
      </c>
      <c r="H15" s="19">
        <v>7</v>
      </c>
      <c r="I15" s="19">
        <v>13</v>
      </c>
      <c r="J15" s="93">
        <f>FLOOR((G15+4*H15+I15)/6,1)</f>
        <v>7</v>
      </c>
      <c r="K15" s="86">
        <f t="shared" si="0"/>
        <v>2.25</v>
      </c>
      <c r="L15" s="88"/>
      <c r="N15" s="8"/>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5"/>
    </row>
    <row r="16" spans="2:49" ht="22" thickBot="1" x14ac:dyDescent="0.25">
      <c r="B16" s="19" t="s">
        <v>137</v>
      </c>
      <c r="C16" s="4" t="s">
        <v>89</v>
      </c>
      <c r="D16" s="61" t="s">
        <v>94</v>
      </c>
      <c r="F16" s="19">
        <v>13</v>
      </c>
      <c r="G16" s="19">
        <v>5</v>
      </c>
      <c r="H16" s="19">
        <v>9</v>
      </c>
      <c r="I16" s="19">
        <v>15</v>
      </c>
      <c r="J16" s="93">
        <f t="shared" si="1"/>
        <v>9</v>
      </c>
      <c r="K16" s="86">
        <f t="shared" si="0"/>
        <v>2.7777777777777781</v>
      </c>
      <c r="L16" s="88"/>
      <c r="M16" s="2"/>
      <c r="N16" s="10"/>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100"/>
      <c r="AV16" s="100"/>
      <c r="AW16" s="101"/>
    </row>
    <row r="17" spans="2:48" ht="22" x14ac:dyDescent="0.2">
      <c r="B17" s="19" t="s">
        <v>138</v>
      </c>
      <c r="C17" s="4" t="s">
        <v>90</v>
      </c>
      <c r="D17" s="61" t="s">
        <v>78</v>
      </c>
      <c r="F17" s="19">
        <v>14</v>
      </c>
      <c r="G17" s="19">
        <v>1</v>
      </c>
      <c r="H17" s="19">
        <v>1</v>
      </c>
      <c r="I17" s="19">
        <v>1</v>
      </c>
      <c r="J17" s="93">
        <f t="shared" si="1"/>
        <v>1</v>
      </c>
      <c r="K17" s="86">
        <f t="shared" si="0"/>
        <v>0</v>
      </c>
      <c r="L17" s="88" t="s">
        <v>33</v>
      </c>
      <c r="M17" s="2"/>
      <c r="N17" s="2"/>
      <c r="AU17"/>
      <c r="AV17"/>
    </row>
    <row r="18" spans="2:48" ht="22" x14ac:dyDescent="0.2">
      <c r="B18" s="19" t="s">
        <v>139</v>
      </c>
      <c r="C18" s="4" t="s">
        <v>93</v>
      </c>
      <c r="D18" s="61">
        <v>14</v>
      </c>
      <c r="F18" s="19">
        <v>15</v>
      </c>
      <c r="G18" s="19">
        <v>3</v>
      </c>
      <c r="H18" s="19">
        <v>5</v>
      </c>
      <c r="I18" s="19">
        <v>8</v>
      </c>
      <c r="J18" s="93">
        <f t="shared" si="1"/>
        <v>5</v>
      </c>
      <c r="K18" s="86">
        <f t="shared" si="0"/>
        <v>0.69444444444444453</v>
      </c>
      <c r="L18" s="88" t="s">
        <v>33</v>
      </c>
      <c r="M18" s="3"/>
      <c r="N18" s="3"/>
    </row>
    <row r="19" spans="2:48" x14ac:dyDescent="0.2">
      <c r="C19" s="54"/>
      <c r="D19" s="62"/>
      <c r="F19" s="3"/>
      <c r="G19" s="3"/>
      <c r="H19" s="3"/>
      <c r="I19" s="3"/>
      <c r="J19" s="5"/>
      <c r="K19" s="5"/>
      <c r="L19" s="5"/>
      <c r="M19" s="3"/>
      <c r="N19" s="3"/>
      <c r="S19" s="90"/>
      <c r="T19" s="91"/>
      <c r="U19" s="90"/>
      <c r="V19" s="91"/>
      <c r="W19" s="90"/>
      <c r="X19" s="90"/>
      <c r="Y19" s="90"/>
      <c r="Z19" s="90"/>
    </row>
    <row r="20" spans="2:48" x14ac:dyDescent="0.2">
      <c r="D20" s="62"/>
      <c r="F20" s="3"/>
      <c r="G20" s="3"/>
      <c r="H20" s="3"/>
      <c r="I20" s="3"/>
      <c r="J20" s="5"/>
      <c r="K20" s="5"/>
      <c r="L20" s="5"/>
      <c r="M20" s="3"/>
      <c r="N20" s="3"/>
      <c r="S20" s="89"/>
      <c r="T20" s="92"/>
      <c r="U20" s="89"/>
      <c r="V20" s="92"/>
      <c r="W20" s="89"/>
      <c r="X20" s="89"/>
      <c r="Y20" s="89"/>
      <c r="Z20" s="89"/>
    </row>
    <row r="21" spans="2:48" x14ac:dyDescent="0.2">
      <c r="D21" s="62"/>
      <c r="F21" s="3"/>
      <c r="G21" s="3"/>
      <c r="H21" s="3"/>
      <c r="I21" s="3"/>
      <c r="J21" s="5"/>
      <c r="K21" s="5"/>
      <c r="L21" s="5"/>
      <c r="M21" s="3"/>
      <c r="N21" s="3"/>
      <c r="S21" s="89"/>
      <c r="T21" s="92"/>
      <c r="U21" s="89"/>
      <c r="V21" s="92"/>
      <c r="W21" s="89"/>
      <c r="X21" s="89"/>
      <c r="Y21" s="89"/>
      <c r="Z21" s="89"/>
    </row>
    <row r="22" spans="2:48" x14ac:dyDescent="0.2">
      <c r="D22" s="62"/>
      <c r="F22" s="3"/>
      <c r="G22" s="3"/>
      <c r="H22" s="3"/>
      <c r="I22" s="3"/>
      <c r="J22" s="5"/>
      <c r="K22" s="5"/>
      <c r="L22" s="5"/>
      <c r="M22" s="3"/>
      <c r="N22" s="3"/>
      <c r="S22" s="89"/>
      <c r="T22" s="92"/>
      <c r="U22" s="89"/>
      <c r="V22" s="92"/>
      <c r="W22" s="89"/>
      <c r="X22" s="89"/>
      <c r="Y22" s="89"/>
      <c r="Z22" s="89"/>
    </row>
    <row r="23" spans="2:48" x14ac:dyDescent="0.2">
      <c r="D23" s="62"/>
      <c r="F23" s="3"/>
      <c r="G23" s="3"/>
      <c r="H23" s="3"/>
      <c r="I23" s="3"/>
      <c r="J23" s="5"/>
      <c r="K23" s="5"/>
      <c r="L23" s="5"/>
      <c r="M23" s="3"/>
      <c r="N23" s="3"/>
      <c r="S23" s="89"/>
      <c r="T23" s="92"/>
      <c r="U23" s="89"/>
      <c r="V23" s="92"/>
      <c r="W23" s="89"/>
      <c r="X23" s="89"/>
      <c r="Y23" s="89"/>
      <c r="Z23" s="89"/>
    </row>
    <row r="24" spans="2:48" ht="16" thickBot="1" x14ac:dyDescent="0.25">
      <c r="B24" s="3"/>
      <c r="C24" s="54"/>
      <c r="D24" s="3"/>
      <c r="F24" s="3"/>
      <c r="G24" s="3"/>
      <c r="H24" s="3"/>
      <c r="I24" s="3"/>
      <c r="J24" s="5"/>
      <c r="K24" s="5"/>
      <c r="L24" s="5"/>
      <c r="M24" s="3"/>
      <c r="N24" s="3"/>
      <c r="S24" s="89"/>
      <c r="T24" s="92"/>
      <c r="U24" s="89"/>
      <c r="V24" s="92"/>
      <c r="W24" s="89"/>
      <c r="X24" s="89"/>
      <c r="Y24" s="89"/>
      <c r="Z24" s="89"/>
    </row>
    <row r="25" spans="2:48" x14ac:dyDescent="0.2">
      <c r="B25" s="3"/>
      <c r="C25" s="54"/>
      <c r="D25" s="3"/>
      <c r="F25" s="3"/>
      <c r="G25" s="3"/>
      <c r="H25" s="69" t="s">
        <v>96</v>
      </c>
      <c r="I25" s="70" t="s">
        <v>97</v>
      </c>
      <c r="J25" s="5"/>
      <c r="K25" s="5"/>
      <c r="L25" s="5"/>
      <c r="M25" s="3"/>
      <c r="N25" s="3"/>
      <c r="S25" s="89"/>
      <c r="T25" s="92"/>
      <c r="U25" s="89"/>
      <c r="V25" s="92"/>
      <c r="W25" s="89"/>
      <c r="X25" s="89"/>
      <c r="Y25" s="89"/>
      <c r="Z25" s="89"/>
    </row>
    <row r="26" spans="2:48" x14ac:dyDescent="0.2">
      <c r="H26" s="71">
        <v>44</v>
      </c>
      <c r="I26" s="72">
        <f>_xlfn.NORM.DIST($K$39,H26,$C$38,TRUE)</f>
        <v>0.61664493201517978</v>
      </c>
      <c r="M26" s="3"/>
      <c r="N26" s="3"/>
      <c r="S26" s="89"/>
      <c r="T26" s="92"/>
      <c r="U26" s="89"/>
      <c r="V26" s="92"/>
      <c r="W26" s="89"/>
      <c r="X26" s="89"/>
      <c r="Y26" s="89"/>
      <c r="Z26" s="89"/>
    </row>
    <row r="27" spans="2:48" x14ac:dyDescent="0.2">
      <c r="B27" s="63" t="s">
        <v>95</v>
      </c>
      <c r="C27" s="63" t="s">
        <v>18</v>
      </c>
      <c r="D27" s="63" t="s">
        <v>72</v>
      </c>
      <c r="E27" s="63" t="s">
        <v>17</v>
      </c>
      <c r="H27" s="71">
        <v>43</v>
      </c>
      <c r="I27" s="72">
        <f t="shared" ref="I27:I29" si="2">_xlfn.NORM.DIST($K$39,H27,$C$38,TRUE)</f>
        <v>0.72353047991956965</v>
      </c>
      <c r="K27" s="2"/>
      <c r="L27" s="2"/>
      <c r="M27" s="3"/>
      <c r="N27" s="3"/>
      <c r="S27" s="89"/>
      <c r="T27" s="92"/>
      <c r="U27" s="89"/>
      <c r="V27" s="92"/>
      <c r="W27" s="89"/>
      <c r="X27" s="89"/>
      <c r="Y27" s="89"/>
      <c r="Z27" s="89"/>
    </row>
    <row r="28" spans="2:48" x14ac:dyDescent="0.2">
      <c r="B28" s="19">
        <v>1</v>
      </c>
      <c r="C28" s="19" t="s">
        <v>79</v>
      </c>
      <c r="D28" s="60">
        <f>VLOOKUP(C28,C4:J18,8,0)</f>
        <v>2</v>
      </c>
      <c r="E28" s="59">
        <f>VLOOKUP(C28,C4:K18,9,0)</f>
        <v>0.1111111111111111</v>
      </c>
      <c r="F28" s="3"/>
      <c r="G28" s="3"/>
      <c r="H28" s="71">
        <v>42</v>
      </c>
      <c r="I28" s="72">
        <f t="shared" si="2"/>
        <v>0.81327852545009782</v>
      </c>
      <c r="J28" s="3"/>
      <c r="K28" s="2"/>
      <c r="L28" s="2"/>
      <c r="M28" s="3"/>
      <c r="N28" s="3"/>
      <c r="S28" s="89"/>
      <c r="T28" s="92"/>
      <c r="U28" s="89"/>
      <c r="V28" s="92"/>
      <c r="W28" s="89"/>
      <c r="X28" s="89"/>
      <c r="Y28" s="89"/>
      <c r="Z28" s="89"/>
    </row>
    <row r="29" spans="2:48" x14ac:dyDescent="0.2">
      <c r="B29" s="19">
        <v>3</v>
      </c>
      <c r="C29" s="19" t="s">
        <v>81</v>
      </c>
      <c r="D29" s="60">
        <f>VLOOKUP(C29,C5:J19,8,0)</f>
        <v>6</v>
      </c>
      <c r="E29" s="59">
        <f>VLOOKUP(C29,C5:K19,9,0)</f>
        <v>2.25</v>
      </c>
      <c r="F29" s="3"/>
      <c r="G29" s="3"/>
      <c r="H29" s="71">
        <v>41</v>
      </c>
      <c r="I29" s="72">
        <f t="shared" si="2"/>
        <v>0.88233167314510141</v>
      </c>
      <c r="J29" s="3"/>
      <c r="K29" s="3"/>
      <c r="L29" s="3"/>
      <c r="M29" s="3"/>
      <c r="N29" s="3"/>
      <c r="S29" s="89"/>
      <c r="T29" s="92"/>
      <c r="U29" s="89"/>
      <c r="V29" s="92"/>
      <c r="W29" s="89"/>
      <c r="X29" s="89"/>
      <c r="Y29" s="89"/>
      <c r="Z29" s="89"/>
    </row>
    <row r="30" spans="2:48" x14ac:dyDescent="0.2">
      <c r="B30" s="19">
        <v>8</v>
      </c>
      <c r="C30" s="19" t="s">
        <v>86</v>
      </c>
      <c r="D30" s="60">
        <f>VLOOKUP(C30,C6:J25,8,0)</f>
        <v>7</v>
      </c>
      <c r="E30" s="59">
        <f>VLOOKUP(C30,C6:K25,9,0)</f>
        <v>2.25</v>
      </c>
      <c r="F30" s="3"/>
      <c r="G30" s="3"/>
      <c r="H30" s="71">
        <v>40</v>
      </c>
      <c r="I30" s="72">
        <f>_xlfn.NORM.DIST($K$39,H30,$C$38,TRUE)</f>
        <v>0.9310165176123496</v>
      </c>
      <c r="J30" s="3"/>
      <c r="K30" s="3"/>
      <c r="L30" s="3"/>
      <c r="M30" s="3"/>
      <c r="N30" s="3"/>
      <c r="S30" s="89"/>
      <c r="T30" s="92"/>
      <c r="U30" s="89"/>
      <c r="V30" s="92"/>
      <c r="W30" s="89"/>
      <c r="X30" s="89"/>
      <c r="Y30" s="89"/>
      <c r="Z30" s="89"/>
    </row>
    <row r="31" spans="2:48" x14ac:dyDescent="0.2">
      <c r="B31" s="19">
        <v>9</v>
      </c>
      <c r="C31" s="19" t="s">
        <v>87</v>
      </c>
      <c r="D31" s="60">
        <f>VLOOKUP(C31,C7:J26,8,0)</f>
        <v>7</v>
      </c>
      <c r="E31" s="59">
        <f>VLOOKUP(C31,C7:K26,9,0)</f>
        <v>1.3611111111111114</v>
      </c>
      <c r="F31" s="3"/>
      <c r="G31" s="3"/>
      <c r="H31" s="73">
        <v>39</v>
      </c>
      <c r="I31" s="74">
        <f>_xlfn.NORM.DIST($K$39,H31,$C$38,TRUE)</f>
        <v>0.96246901008930186</v>
      </c>
      <c r="J31" s="3"/>
      <c r="K31" s="3"/>
      <c r="L31" s="3"/>
      <c r="M31" s="3"/>
      <c r="N31" s="3"/>
      <c r="S31" s="89"/>
      <c r="T31" s="92"/>
      <c r="U31" s="89"/>
      <c r="V31" s="92"/>
      <c r="W31" s="89"/>
      <c r="X31" s="89"/>
      <c r="Y31" s="89"/>
      <c r="Z31" s="89"/>
    </row>
    <row r="32" spans="2:48" x14ac:dyDescent="0.2">
      <c r="B32" s="19">
        <v>10</v>
      </c>
      <c r="C32" s="19" t="s">
        <v>91</v>
      </c>
      <c r="D32" s="60">
        <f>VLOOKUP(C32,C8:J27,8,0)</f>
        <v>12</v>
      </c>
      <c r="E32" s="59">
        <f>VLOOKUP(C32,C8:K27,9,0)</f>
        <v>4.6944444444444438</v>
      </c>
      <c r="F32" s="3"/>
      <c r="G32" s="3"/>
      <c r="H32" s="71">
        <v>38</v>
      </c>
      <c r="I32" s="72">
        <f>_xlfn.NORM.DIST($K$39,H32,$C$38,TRUE)</f>
        <v>0.98108843489322028</v>
      </c>
      <c r="J32" s="3"/>
      <c r="K32" s="3"/>
      <c r="L32" s="3"/>
      <c r="M32" s="3"/>
      <c r="N32" s="3"/>
      <c r="S32" s="89"/>
      <c r="T32" s="92"/>
      <c r="U32" s="89"/>
      <c r="V32" s="92"/>
      <c r="W32" s="89"/>
      <c r="X32" s="89"/>
      <c r="Y32" s="89"/>
      <c r="Z32" s="89"/>
    </row>
    <row r="33" spans="2:26" ht="16" thickBot="1" x14ac:dyDescent="0.25">
      <c r="B33" s="19">
        <v>14</v>
      </c>
      <c r="C33" s="19" t="s">
        <v>90</v>
      </c>
      <c r="D33" s="60">
        <f>VLOOKUP(C33,C9:J28,8,0)</f>
        <v>1</v>
      </c>
      <c r="E33" s="59">
        <f>VLOOKUP(C33,C9:K28,9,0)</f>
        <v>0</v>
      </c>
      <c r="F33" s="3"/>
      <c r="G33" s="3"/>
      <c r="H33" s="75">
        <v>36</v>
      </c>
      <c r="I33" s="76">
        <f>_xlfn.NORM.DIST($K$39,H33,$C$38,TRUE)</f>
        <v>0.99620888489949122</v>
      </c>
      <c r="J33" s="3"/>
      <c r="K33" s="3"/>
      <c r="L33" s="3"/>
      <c r="M33" s="3"/>
      <c r="N33" s="3"/>
      <c r="S33" s="89"/>
      <c r="T33" s="92"/>
      <c r="U33" s="89"/>
      <c r="V33" s="92"/>
      <c r="W33" s="89"/>
      <c r="X33" s="89"/>
      <c r="Y33" s="89"/>
      <c r="Z33" s="89"/>
    </row>
    <row r="34" spans="2:26" x14ac:dyDescent="0.2">
      <c r="B34" s="19">
        <v>15</v>
      </c>
      <c r="C34" s="19" t="s">
        <v>93</v>
      </c>
      <c r="D34" s="60">
        <f>VLOOKUP(C34,C10:J29,8,0)</f>
        <v>5</v>
      </c>
      <c r="E34" s="59">
        <f>VLOOKUP(C34,C10:K29,9,0)</f>
        <v>0.69444444444444453</v>
      </c>
      <c r="F34" s="3"/>
      <c r="G34" s="3"/>
      <c r="H34" s="77"/>
      <c r="I34" s="78"/>
      <c r="J34" s="3"/>
      <c r="K34" s="3"/>
      <c r="L34" s="3"/>
      <c r="M34" s="3"/>
      <c r="N34" s="3"/>
      <c r="S34" s="89"/>
      <c r="T34" s="92"/>
      <c r="U34" s="89"/>
      <c r="V34" s="92"/>
      <c r="W34" s="89"/>
      <c r="X34" s="89"/>
      <c r="Y34" s="89"/>
      <c r="Z34" s="89"/>
    </row>
    <row r="35" spans="2:26" ht="56.25" customHeight="1" x14ac:dyDescent="0.2">
      <c r="B35" s="19"/>
      <c r="C35" s="38" t="s">
        <v>74</v>
      </c>
      <c r="D35" s="64">
        <f>SUM(D28:D34)</f>
        <v>40</v>
      </c>
      <c r="E35" s="64">
        <f>SUM(E28:E34)</f>
        <v>11.361111111111111</v>
      </c>
      <c r="F35" s="3"/>
      <c r="G35" s="3"/>
      <c r="H35" s="77"/>
      <c r="I35" s="78"/>
      <c r="J35" s="3"/>
      <c r="K35" s="3"/>
      <c r="L35" s="3"/>
      <c r="S35" s="89"/>
      <c r="T35" s="92"/>
      <c r="U35" s="89"/>
      <c r="V35" s="92"/>
      <c r="W35" s="89"/>
      <c r="X35" s="89"/>
      <c r="Y35" s="89"/>
      <c r="Z35" s="89"/>
    </row>
    <row r="36" spans="2:26" x14ac:dyDescent="0.2">
      <c r="F36" s="3"/>
      <c r="G36" s="3"/>
      <c r="H36" s="77"/>
      <c r="I36" s="78"/>
      <c r="J36" s="3"/>
      <c r="K36" s="3"/>
      <c r="L36" s="3"/>
      <c r="S36" s="89"/>
      <c r="T36" s="92"/>
      <c r="U36" s="89"/>
      <c r="V36" s="92"/>
      <c r="W36" s="89"/>
      <c r="X36" s="89"/>
      <c r="Y36" s="89"/>
      <c r="Z36" s="89"/>
    </row>
    <row r="37" spans="2:26" ht="30" x14ac:dyDescent="0.2">
      <c r="B37" s="39" t="s">
        <v>20</v>
      </c>
      <c r="C37" s="44">
        <f>D35</f>
        <v>40</v>
      </c>
      <c r="D37" s="42"/>
      <c r="F37" s="3"/>
      <c r="G37" s="3"/>
      <c r="H37" s="3"/>
      <c r="I37" s="3"/>
      <c r="J37" s="3"/>
      <c r="K37" s="3"/>
      <c r="L37" s="3"/>
      <c r="S37" s="89"/>
      <c r="T37" s="92"/>
      <c r="U37" s="89"/>
      <c r="V37" s="92"/>
      <c r="W37" s="89"/>
      <c r="X37" s="89"/>
      <c r="Y37" s="89"/>
      <c r="Z37" s="89"/>
    </row>
    <row r="38" spans="2:26" ht="59.25" customHeight="1" thickBot="1" x14ac:dyDescent="0.25">
      <c r="B38" s="40" t="s">
        <v>19</v>
      </c>
      <c r="C38" s="45">
        <f>SQRT(E35)</f>
        <v>3.3706247360261141</v>
      </c>
      <c r="D38" s="42"/>
      <c r="E38" s="42"/>
      <c r="F38" s="34"/>
      <c r="G38" s="3"/>
      <c r="H38" s="3"/>
      <c r="I38" s="3"/>
      <c r="J38" s="3"/>
      <c r="K38" s="3"/>
      <c r="L38" s="3"/>
      <c r="S38" s="89"/>
      <c r="T38" s="92"/>
      <c r="U38" s="89"/>
      <c r="V38" s="92"/>
      <c r="W38" s="89"/>
      <c r="X38" s="89"/>
      <c r="Y38" s="89"/>
      <c r="Z38" s="89"/>
    </row>
    <row r="39" spans="2:26" ht="24.75" customHeight="1" thickBot="1" x14ac:dyDescent="0.25">
      <c r="B39" s="42"/>
      <c r="C39" s="43"/>
      <c r="D39" s="42"/>
      <c r="E39" s="42"/>
      <c r="F39" s="3"/>
      <c r="G39" s="130" t="s">
        <v>73</v>
      </c>
      <c r="H39" s="131"/>
      <c r="I39" s="131"/>
      <c r="J39" s="131"/>
      <c r="K39" s="79">
        <v>45</v>
      </c>
      <c r="L39" s="84"/>
    </row>
    <row r="40" spans="2:26" ht="30" x14ac:dyDescent="0.2">
      <c r="B40" s="41" t="s">
        <v>23</v>
      </c>
      <c r="C40" s="65">
        <f>_xlfn.NORM.DIST(K39,C37,C38,TRUE)</f>
        <v>0.9310165176123496</v>
      </c>
      <c r="D40" s="68"/>
      <c r="E40" s="42"/>
      <c r="F40" s="3"/>
      <c r="G40" s="3"/>
      <c r="H40" s="3"/>
      <c r="I40" s="3"/>
      <c r="J40" s="3"/>
      <c r="K40" s="3"/>
      <c r="L40" s="3"/>
    </row>
    <row r="41" spans="2:26" ht="32.5" customHeight="1" x14ac:dyDescent="0.2">
      <c r="B41" s="42"/>
      <c r="C41" s="43"/>
      <c r="D41" s="42"/>
      <c r="E41" s="68"/>
    </row>
    <row r="42" spans="2:26" ht="26" x14ac:dyDescent="0.3">
      <c r="B42" s="41" t="s">
        <v>21</v>
      </c>
      <c r="C42" s="66">
        <v>0.95</v>
      </c>
      <c r="D42" s="42"/>
      <c r="E42" s="42"/>
    </row>
    <row r="43" spans="2:26" ht="30" x14ac:dyDescent="0.2">
      <c r="B43" s="41" t="s">
        <v>22</v>
      </c>
      <c r="C43" s="67">
        <f>H31</f>
        <v>39</v>
      </c>
      <c r="D43" s="68"/>
      <c r="E43" s="42"/>
    </row>
    <row r="44" spans="2:26" ht="27.5" customHeight="1" x14ac:dyDescent="0.2">
      <c r="E44" s="68"/>
    </row>
    <row r="46" spans="2:26" ht="26" x14ac:dyDescent="0.3">
      <c r="C46" s="46"/>
    </row>
    <row r="54" spans="5:5" x14ac:dyDescent="0.2">
      <c r="E54" s="52"/>
    </row>
    <row r="55" spans="5:5" x14ac:dyDescent="0.2">
      <c r="E55" s="52"/>
    </row>
    <row r="56" spans="5:5" x14ac:dyDescent="0.2">
      <c r="E56" s="52"/>
    </row>
    <row r="57" spans="5:5" x14ac:dyDescent="0.2">
      <c r="E57" s="52"/>
    </row>
    <row r="58" spans="5:5" x14ac:dyDescent="0.2">
      <c r="E58" s="52"/>
    </row>
    <row r="59" spans="5:5" x14ac:dyDescent="0.2">
      <c r="E59" s="52"/>
    </row>
    <row r="60" spans="5:5" x14ac:dyDescent="0.2">
      <c r="E60" s="52"/>
    </row>
    <row r="61" spans="5:5" x14ac:dyDescent="0.2">
      <c r="E61" s="52"/>
    </row>
    <row r="62" spans="5:5" x14ac:dyDescent="0.2">
      <c r="E62" s="52"/>
    </row>
    <row r="63" spans="5:5" x14ac:dyDescent="0.2">
      <c r="E63" s="53"/>
    </row>
    <row r="64" spans="5:5" x14ac:dyDescent="0.2">
      <c r="E64" s="52"/>
    </row>
    <row r="65" spans="5:5" x14ac:dyDescent="0.2">
      <c r="E65" s="52"/>
    </row>
    <row r="66" spans="5:5" x14ac:dyDescent="0.2">
      <c r="E66" s="52"/>
    </row>
    <row r="67" spans="5:5" x14ac:dyDescent="0.2">
      <c r="E67" s="52"/>
    </row>
    <row r="68" spans="5:5" x14ac:dyDescent="0.2">
      <c r="E68" s="52"/>
    </row>
    <row r="69" spans="5:5" x14ac:dyDescent="0.2">
      <c r="E69" s="52"/>
    </row>
    <row r="70" spans="5:5" x14ac:dyDescent="0.2">
      <c r="E70" s="52"/>
    </row>
    <row r="71" spans="5:5" x14ac:dyDescent="0.2">
      <c r="E71" s="52"/>
    </row>
    <row r="72" spans="5:5" x14ac:dyDescent="0.2">
      <c r="E72" s="52"/>
    </row>
    <row r="73" spans="5:5" x14ac:dyDescent="0.2">
      <c r="E73" s="52"/>
    </row>
  </sheetData>
  <mergeCells count="1">
    <mergeCell ref="G39:J39"/>
  </mergeCells>
  <conditionalFormatting sqref="O5">
    <cfRule type="cellIs" dxfId="27" priority="14" operator="equal">
      <formula>0</formula>
    </cfRule>
  </conditionalFormatting>
  <conditionalFormatting sqref="T5">
    <cfRule type="cellIs" dxfId="26" priority="12" operator="equal">
      <formula>0</formula>
    </cfRule>
  </conditionalFormatting>
  <conditionalFormatting sqref="T9">
    <cfRule type="cellIs" dxfId="25" priority="13" operator="equal">
      <formula>0</formula>
    </cfRule>
  </conditionalFormatting>
  <conditionalFormatting sqref="T13">
    <cfRule type="cellIs" dxfId="24" priority="11" operator="equal">
      <formula>0</formula>
    </cfRule>
  </conditionalFormatting>
  <conditionalFormatting sqref="X5">
    <cfRule type="cellIs" dxfId="23" priority="10" operator="equal">
      <formula>0</formula>
    </cfRule>
  </conditionalFormatting>
  <conditionalFormatting sqref="AB5">
    <cfRule type="cellIs" dxfId="22" priority="9" operator="equal">
      <formula>0</formula>
    </cfRule>
  </conditionalFormatting>
  <conditionalFormatting sqref="AB9">
    <cfRule type="cellIs" dxfId="21" priority="8" operator="equal">
      <formula>0</formula>
    </cfRule>
  </conditionalFormatting>
  <conditionalFormatting sqref="AF9">
    <cfRule type="cellIs" dxfId="20" priority="7" operator="equal">
      <formula>0</formula>
    </cfRule>
  </conditionalFormatting>
  <conditionalFormatting sqref="AJ9">
    <cfRule type="cellIs" dxfId="19" priority="6" operator="equal">
      <formula>0</formula>
    </cfRule>
  </conditionalFormatting>
  <conditionalFormatting sqref="AJ13">
    <cfRule type="cellIs" dxfId="18" priority="4" operator="equal">
      <formula>0</formula>
    </cfRule>
  </conditionalFormatting>
  <conditionalFormatting sqref="AN9">
    <cfRule type="cellIs" dxfId="17" priority="5" operator="equal">
      <formula>0</formula>
    </cfRule>
  </conditionalFormatting>
  <conditionalFormatting sqref="AN13">
    <cfRule type="cellIs" dxfId="16" priority="3" operator="equal">
      <formula>0</formula>
    </cfRule>
  </conditionalFormatting>
  <conditionalFormatting sqref="AR6">
    <cfRule type="cellIs" dxfId="15" priority="1" operator="equal">
      <formula>0</formula>
    </cfRule>
  </conditionalFormatting>
  <conditionalFormatting sqref="AR12">
    <cfRule type="cellIs" dxfId="14" priority="2" operator="equal">
      <formula>0</formula>
    </cfRule>
  </conditionalFormatting>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9BE6-AE77-4969-B4E5-9C917555BFB9}">
  <dimension ref="A1:AK85"/>
  <sheetViews>
    <sheetView showGridLines="0" tabSelected="1" topLeftCell="A32" zoomScale="150" zoomScaleNormal="167" workbookViewId="0">
      <selection activeCell="Z72" sqref="Z72"/>
    </sheetView>
  </sheetViews>
  <sheetFormatPr baseColWidth="10" defaultColWidth="8.83203125" defaultRowHeight="15" x14ac:dyDescent="0.2"/>
  <cols>
    <col min="1" max="2" width="3.1640625" style="80" customWidth="1"/>
    <col min="3" max="5" width="5.83203125" style="80" bestFit="1" customWidth="1"/>
    <col min="6" max="10" width="3.1640625" style="80" customWidth="1"/>
    <col min="11" max="11" width="8.83203125" style="80" customWidth="1"/>
    <col min="12" max="12" width="11.1640625" style="80" customWidth="1"/>
    <col min="13" max="13" width="10.1640625" style="80" customWidth="1"/>
    <col min="14" max="25" width="3.1640625" style="80" customWidth="1"/>
    <col min="26" max="26" width="9.83203125" customWidth="1"/>
    <col min="27" max="27" width="10.5" style="80" bestFit="1" customWidth="1"/>
    <col min="28" max="28" width="14.5" style="80" customWidth="1"/>
    <col min="29" max="29" width="11.1640625" style="80" customWidth="1"/>
    <col min="30" max="30" width="14.6640625" style="80" customWidth="1"/>
    <col min="31" max="31" width="11.6640625" style="80" customWidth="1"/>
    <col min="32" max="32" width="5.5" bestFit="1" customWidth="1"/>
    <col min="33" max="33" width="11.1640625" bestFit="1" customWidth="1"/>
    <col min="34" max="35" width="9.1640625" bestFit="1" customWidth="1"/>
    <col min="36" max="36" width="4.83203125" bestFit="1" customWidth="1"/>
    <col min="37" max="37" width="8.6640625" bestFit="1" customWidth="1"/>
    <col min="38" max="38" width="4.83203125" bestFit="1" customWidth="1"/>
    <col min="39" max="39" width="7.6640625" bestFit="1" customWidth="1"/>
    <col min="40" max="40" width="10.5" bestFit="1" customWidth="1"/>
    <col min="41" max="41" width="5.33203125" bestFit="1" customWidth="1"/>
    <col min="42" max="42" width="9.5" bestFit="1" customWidth="1"/>
    <col min="43" max="44" width="3.1640625" customWidth="1"/>
    <col min="45" max="45" width="3.6640625" bestFit="1" customWidth="1"/>
    <col min="46" max="46" width="3.1640625" customWidth="1"/>
    <col min="47" max="47" width="10.33203125" customWidth="1"/>
    <col min="48" max="48" width="9.5" customWidth="1"/>
    <col min="49" max="49" width="5.6640625" bestFit="1" customWidth="1"/>
    <col min="50" max="50" width="8.1640625" bestFit="1" customWidth="1"/>
    <col min="51" max="51" width="8.6640625" bestFit="1" customWidth="1"/>
    <col min="52" max="250" width="3.1640625" customWidth="1"/>
  </cols>
  <sheetData>
    <row r="1" spans="2:37" ht="16" thickBot="1" x14ac:dyDescent="0.25">
      <c r="B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2:37" x14ac:dyDescent="0.2">
      <c r="B2" s="7"/>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6"/>
    </row>
    <row r="3" spans="2:37" x14ac:dyDescent="0.2">
      <c r="B3" s="8"/>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9"/>
    </row>
    <row r="4" spans="2:37" x14ac:dyDescent="0.2">
      <c r="B4" s="8"/>
      <c r="C4" s="37">
        <v>0</v>
      </c>
      <c r="D4" s="37"/>
      <c r="E4" s="37">
        <f>C4+D6</f>
        <v>2</v>
      </c>
      <c r="F4" s="94"/>
      <c r="G4" s="94"/>
      <c r="H4" s="37">
        <f>E4</f>
        <v>2</v>
      </c>
      <c r="I4" s="37"/>
      <c r="J4" s="37">
        <f>H4+I6</f>
        <v>6</v>
      </c>
      <c r="K4" s="94"/>
      <c r="L4" s="37">
        <f>J4</f>
        <v>6</v>
      </c>
      <c r="M4" s="37"/>
      <c r="N4" s="37">
        <f>L4+M6</f>
        <v>10</v>
      </c>
      <c r="O4" s="94"/>
      <c r="P4" s="37">
        <f>N4</f>
        <v>10</v>
      </c>
      <c r="Q4" s="37"/>
      <c r="R4" s="37">
        <f>P4+Q6</f>
        <v>16</v>
      </c>
      <c r="S4" s="94"/>
      <c r="T4" s="94"/>
      <c r="U4" s="94"/>
      <c r="V4" s="94"/>
      <c r="W4" s="94"/>
      <c r="X4" s="94"/>
      <c r="Y4" s="94"/>
      <c r="Z4" s="94"/>
      <c r="AA4" s="94"/>
      <c r="AB4" s="94"/>
      <c r="AC4" s="94"/>
      <c r="AD4" s="94"/>
      <c r="AE4" s="94"/>
      <c r="AF4" s="94"/>
      <c r="AG4" s="94"/>
      <c r="AH4" s="94"/>
      <c r="AI4" s="94"/>
      <c r="AJ4" s="94"/>
      <c r="AK4" s="95"/>
    </row>
    <row r="5" spans="2:37" x14ac:dyDescent="0.2">
      <c r="B5" s="8"/>
      <c r="C5" s="37">
        <f>C6-C4</f>
        <v>0</v>
      </c>
      <c r="D5" s="119" t="s">
        <v>3</v>
      </c>
      <c r="E5" s="37">
        <f>E6-E4</f>
        <v>0</v>
      </c>
      <c r="F5" s="94"/>
      <c r="G5" s="94"/>
      <c r="H5" s="37">
        <f>H6-H4</f>
        <v>1</v>
      </c>
      <c r="I5" s="96" t="s">
        <v>5</v>
      </c>
      <c r="J5" s="37">
        <f>J6-J4</f>
        <v>1</v>
      </c>
      <c r="K5" s="94"/>
      <c r="L5" s="37">
        <f>L6-L4</f>
        <v>1</v>
      </c>
      <c r="M5" s="96" t="s">
        <v>9</v>
      </c>
      <c r="N5" s="37">
        <f>N6-N4</f>
        <v>1</v>
      </c>
      <c r="O5" s="94"/>
      <c r="P5" s="37">
        <f>P6-P4</f>
        <v>1</v>
      </c>
      <c r="Q5" s="96" t="s">
        <v>10</v>
      </c>
      <c r="R5" s="37">
        <f>R6-R4</f>
        <v>1</v>
      </c>
      <c r="S5" s="94"/>
      <c r="T5" s="94"/>
      <c r="U5" s="94"/>
      <c r="V5" s="94"/>
      <c r="W5" s="94"/>
      <c r="X5" s="94"/>
      <c r="Y5" s="94"/>
      <c r="Z5" s="94"/>
      <c r="AA5" s="94"/>
      <c r="AB5" s="94"/>
      <c r="AC5" s="94"/>
      <c r="AD5" s="94"/>
      <c r="AE5" s="94"/>
      <c r="AF5" s="37">
        <f>MAX(AD8,Z8)</f>
        <v>23</v>
      </c>
      <c r="AG5" s="37"/>
      <c r="AH5" s="37">
        <f>AF5+AG7</f>
        <v>24</v>
      </c>
      <c r="AI5" s="94"/>
      <c r="AJ5" s="94"/>
      <c r="AK5" s="95"/>
    </row>
    <row r="6" spans="2:37" x14ac:dyDescent="0.2">
      <c r="B6" s="8"/>
      <c r="C6" s="37">
        <f>E6-D6</f>
        <v>0</v>
      </c>
      <c r="D6" s="37">
        <v>2</v>
      </c>
      <c r="E6" s="37">
        <f>MIN(H6,H10,H14)</f>
        <v>2</v>
      </c>
      <c r="F6" s="94"/>
      <c r="G6" s="94"/>
      <c r="H6" s="37">
        <f>J6-I6</f>
        <v>3</v>
      </c>
      <c r="I6" s="37">
        <v>4</v>
      </c>
      <c r="J6" s="37">
        <f>MIN(T10,L6)</f>
        <v>7</v>
      </c>
      <c r="K6" s="94"/>
      <c r="L6" s="37">
        <f>N6-M6</f>
        <v>7</v>
      </c>
      <c r="M6" s="37">
        <v>4</v>
      </c>
      <c r="N6" s="37">
        <f>P6</f>
        <v>11</v>
      </c>
      <c r="O6" s="94"/>
      <c r="P6" s="37">
        <f>R6-Q6</f>
        <v>11</v>
      </c>
      <c r="Q6" s="37">
        <v>6</v>
      </c>
      <c r="R6" s="37">
        <f>AB10</f>
        <v>17</v>
      </c>
      <c r="S6" s="94"/>
      <c r="T6" s="94"/>
      <c r="U6" s="94"/>
      <c r="V6" s="94"/>
      <c r="W6" s="94"/>
      <c r="X6" s="94"/>
      <c r="Y6" s="94"/>
      <c r="Z6" s="94"/>
      <c r="AA6" s="94"/>
      <c r="AB6" s="94"/>
      <c r="AC6" s="94"/>
      <c r="AD6" s="94"/>
      <c r="AE6" s="94"/>
      <c r="AF6" s="37">
        <f>AF7-AF5</f>
        <v>0</v>
      </c>
      <c r="AG6" s="119" t="s">
        <v>144</v>
      </c>
      <c r="AH6" s="37">
        <f>AH7-AH5</f>
        <v>0</v>
      </c>
      <c r="AI6" s="94"/>
      <c r="AJ6" s="94"/>
      <c r="AK6" s="95"/>
    </row>
    <row r="7" spans="2:37" x14ac:dyDescent="0.2">
      <c r="B7" s="8"/>
      <c r="C7" s="94"/>
      <c r="D7" s="97"/>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37">
        <f>AH7-AG7</f>
        <v>23</v>
      </c>
      <c r="AG7" s="37">
        <v>1</v>
      </c>
      <c r="AH7" s="37">
        <f>AF13</f>
        <v>24</v>
      </c>
      <c r="AI7" s="94"/>
      <c r="AJ7" s="94"/>
      <c r="AK7" s="95"/>
    </row>
    <row r="8" spans="2:37" x14ac:dyDescent="0.2">
      <c r="B8" s="8"/>
      <c r="C8" s="94"/>
      <c r="D8" s="94"/>
      <c r="E8" s="94"/>
      <c r="F8" s="94"/>
      <c r="G8" s="94"/>
      <c r="H8" s="37">
        <f>E4</f>
        <v>2</v>
      </c>
      <c r="I8" s="37"/>
      <c r="J8" s="37">
        <f>H8+I10</f>
        <v>6</v>
      </c>
      <c r="K8" s="94"/>
      <c r="L8" s="94"/>
      <c r="M8" s="94"/>
      <c r="N8" s="94"/>
      <c r="O8" s="94"/>
      <c r="P8" s="37">
        <f>J8</f>
        <v>6</v>
      </c>
      <c r="Q8" s="37"/>
      <c r="R8" s="37">
        <f>P8+Q10</f>
        <v>8</v>
      </c>
      <c r="S8" s="94"/>
      <c r="T8" s="37">
        <f>MAX(R8,J4)</f>
        <v>8</v>
      </c>
      <c r="U8" s="37"/>
      <c r="V8" s="37">
        <f>T8+U10</f>
        <v>14</v>
      </c>
      <c r="W8" s="94"/>
      <c r="X8" s="37">
        <f>V8</f>
        <v>14</v>
      </c>
      <c r="Y8" s="37"/>
      <c r="Z8" s="37">
        <f>X8+Y10</f>
        <v>23</v>
      </c>
      <c r="AA8" s="94"/>
      <c r="AB8" s="37">
        <f>MAX(N12,R4,AD12)</f>
        <v>16</v>
      </c>
      <c r="AC8" s="37"/>
      <c r="AD8" s="37">
        <f>AB8+AC10</f>
        <v>22</v>
      </c>
      <c r="AE8" s="94"/>
      <c r="AF8" s="94"/>
      <c r="AG8" s="94"/>
      <c r="AH8" s="94"/>
      <c r="AI8" s="94"/>
      <c r="AJ8" s="94"/>
      <c r="AK8" s="95"/>
    </row>
    <row r="9" spans="2:37" x14ac:dyDescent="0.2">
      <c r="B9" s="8"/>
      <c r="C9" s="94"/>
      <c r="D9" s="94"/>
      <c r="E9" s="94"/>
      <c r="F9" s="94"/>
      <c r="G9" s="94"/>
      <c r="H9" s="37">
        <f>H10-H8</f>
        <v>0</v>
      </c>
      <c r="I9" s="96" t="s">
        <v>6</v>
      </c>
      <c r="J9" s="37">
        <f>J10-J8</f>
        <v>0</v>
      </c>
      <c r="K9" s="94"/>
      <c r="L9" s="94"/>
      <c r="M9" s="94"/>
      <c r="N9" s="94"/>
      <c r="O9" s="94"/>
      <c r="P9" s="37">
        <f>P10-P8</f>
        <v>0</v>
      </c>
      <c r="Q9" s="96" t="s">
        <v>11</v>
      </c>
      <c r="R9" s="37">
        <f>R10-R8</f>
        <v>0</v>
      </c>
      <c r="S9" s="94"/>
      <c r="T9" s="37">
        <f>T10-T8</f>
        <v>0</v>
      </c>
      <c r="U9" s="96" t="s">
        <v>12</v>
      </c>
      <c r="V9" s="37">
        <f>V10-V8</f>
        <v>0</v>
      </c>
      <c r="W9" s="94"/>
      <c r="X9" s="37">
        <f>X10-X8</f>
        <v>0</v>
      </c>
      <c r="Y9" s="96" t="s">
        <v>140</v>
      </c>
      <c r="Z9" s="37">
        <f>Z10-Z8</f>
        <v>0</v>
      </c>
      <c r="AA9" s="94"/>
      <c r="AB9" s="37">
        <f>AB10-AB8</f>
        <v>1</v>
      </c>
      <c r="AC9" s="119" t="s">
        <v>143</v>
      </c>
      <c r="AD9" s="37">
        <f>AD10-AD8</f>
        <v>1</v>
      </c>
      <c r="AE9" s="94"/>
      <c r="AF9" s="94"/>
      <c r="AG9" s="94"/>
      <c r="AH9" s="94"/>
      <c r="AI9" s="94"/>
      <c r="AJ9" s="94"/>
      <c r="AK9" s="95"/>
    </row>
    <row r="10" spans="2:37" x14ac:dyDescent="0.2">
      <c r="B10" s="8"/>
      <c r="C10" s="94"/>
      <c r="D10" s="94"/>
      <c r="E10" s="94"/>
      <c r="F10" s="94"/>
      <c r="G10" s="94"/>
      <c r="H10" s="37">
        <f>J10-I10</f>
        <v>2</v>
      </c>
      <c r="I10" s="37">
        <v>4</v>
      </c>
      <c r="J10" s="37">
        <f>P10</f>
        <v>6</v>
      </c>
      <c r="K10" s="94"/>
      <c r="L10" s="94"/>
      <c r="M10" s="94"/>
      <c r="N10" s="94"/>
      <c r="O10" s="94"/>
      <c r="P10" s="37">
        <f>R10-Q10</f>
        <v>6</v>
      </c>
      <c r="Q10" s="37">
        <v>2</v>
      </c>
      <c r="R10" s="37">
        <f>T10</f>
        <v>8</v>
      </c>
      <c r="S10" s="94"/>
      <c r="T10" s="37">
        <f>V10-U10</f>
        <v>8</v>
      </c>
      <c r="U10" s="37">
        <v>6</v>
      </c>
      <c r="V10" s="37">
        <f>X10</f>
        <v>14</v>
      </c>
      <c r="W10" s="94"/>
      <c r="X10" s="37">
        <f>Z10-Y10</f>
        <v>14</v>
      </c>
      <c r="Y10" s="37">
        <v>9</v>
      </c>
      <c r="Z10" s="37">
        <f>AF7</f>
        <v>23</v>
      </c>
      <c r="AA10" s="94"/>
      <c r="AB10" s="37">
        <f>AD10-AC10</f>
        <v>17</v>
      </c>
      <c r="AC10" s="37">
        <v>6</v>
      </c>
      <c r="AD10" s="37">
        <f>AF7</f>
        <v>23</v>
      </c>
      <c r="AE10" s="94"/>
      <c r="AF10" s="94"/>
      <c r="AG10" s="94"/>
      <c r="AH10" s="94"/>
      <c r="AI10" s="94"/>
      <c r="AJ10" s="94"/>
      <c r="AK10" s="95"/>
    </row>
    <row r="11" spans="2:37" x14ac:dyDescent="0.2">
      <c r="B11" s="8"/>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37">
        <f>AH5</f>
        <v>24</v>
      </c>
      <c r="AG11" s="37"/>
      <c r="AH11" s="37">
        <f>AF11+AG13</f>
        <v>28</v>
      </c>
      <c r="AI11" s="94"/>
      <c r="AJ11" s="94"/>
      <c r="AK11" s="95"/>
    </row>
    <row r="12" spans="2:37" x14ac:dyDescent="0.2">
      <c r="B12" s="8"/>
      <c r="C12" s="94"/>
      <c r="D12" s="94"/>
      <c r="E12" s="94"/>
      <c r="F12" s="94"/>
      <c r="G12" s="94"/>
      <c r="H12" s="37">
        <f>E4</f>
        <v>2</v>
      </c>
      <c r="I12" s="98"/>
      <c r="J12" s="37">
        <f>H12+I14</f>
        <v>3</v>
      </c>
      <c r="K12" s="94"/>
      <c r="L12" s="37">
        <f>J12</f>
        <v>3</v>
      </c>
      <c r="M12" s="37"/>
      <c r="N12" s="37">
        <f>L12+M14</f>
        <v>13</v>
      </c>
      <c r="O12" s="94"/>
      <c r="P12" s="94"/>
      <c r="Q12" s="94"/>
      <c r="R12" s="94"/>
      <c r="S12" s="94"/>
      <c r="T12" s="94"/>
      <c r="U12" s="94"/>
      <c r="V12" s="94"/>
      <c r="W12" s="94"/>
      <c r="X12" s="37">
        <f>J12</f>
        <v>3</v>
      </c>
      <c r="Y12" s="37"/>
      <c r="Z12" s="37">
        <f>X12+Y14</f>
        <v>10</v>
      </c>
      <c r="AA12" s="94"/>
      <c r="AB12" s="37">
        <f>Z12</f>
        <v>10</v>
      </c>
      <c r="AC12" s="37"/>
      <c r="AD12" s="37">
        <f>AB12+AC14</f>
        <v>15</v>
      </c>
      <c r="AE12" s="94"/>
      <c r="AF12" s="37">
        <f>AF13-AF11</f>
        <v>0</v>
      </c>
      <c r="AG12" s="119" t="s">
        <v>145</v>
      </c>
      <c r="AH12" s="37">
        <f>AH13-AH11</f>
        <v>0</v>
      </c>
      <c r="AI12" s="94"/>
      <c r="AJ12" s="94"/>
      <c r="AK12" s="95"/>
    </row>
    <row r="13" spans="2:37" x14ac:dyDescent="0.2">
      <c r="B13" s="8"/>
      <c r="C13" s="94"/>
      <c r="D13" s="94"/>
      <c r="E13" s="94"/>
      <c r="F13" s="94"/>
      <c r="G13" s="94"/>
      <c r="H13" s="37">
        <f>H14-H12</f>
        <v>2</v>
      </c>
      <c r="I13" s="119" t="s">
        <v>7</v>
      </c>
      <c r="J13" s="37">
        <f>J14-J12</f>
        <v>2</v>
      </c>
      <c r="K13" s="94"/>
      <c r="L13" s="37">
        <f>L14-L12</f>
        <v>4</v>
      </c>
      <c r="M13" s="96" t="s">
        <v>8</v>
      </c>
      <c r="N13" s="37">
        <f>N14-N12</f>
        <v>4</v>
      </c>
      <c r="O13" s="94"/>
      <c r="P13" s="94"/>
      <c r="Q13" s="94"/>
      <c r="R13" s="94"/>
      <c r="S13" s="94"/>
      <c r="T13" s="94"/>
      <c r="U13" s="94"/>
      <c r="V13" s="94"/>
      <c r="W13" s="94"/>
      <c r="X13" s="37">
        <f>X14-X12</f>
        <v>2</v>
      </c>
      <c r="Y13" s="119" t="s">
        <v>141</v>
      </c>
      <c r="Z13" s="37">
        <f>Z14-Z12</f>
        <v>2</v>
      </c>
      <c r="AA13" s="94"/>
      <c r="AB13" s="37">
        <f>AB14-AB12</f>
        <v>2</v>
      </c>
      <c r="AC13" s="119" t="s">
        <v>142</v>
      </c>
      <c r="AD13" s="37">
        <f>AD14-AD12</f>
        <v>2</v>
      </c>
      <c r="AE13" s="94"/>
      <c r="AF13" s="37">
        <f>AH13-AG13</f>
        <v>24</v>
      </c>
      <c r="AG13" s="37">
        <v>4</v>
      </c>
      <c r="AH13" s="37">
        <f>AH11</f>
        <v>28</v>
      </c>
      <c r="AI13" s="94"/>
      <c r="AJ13" s="94"/>
      <c r="AK13" s="95"/>
    </row>
    <row r="14" spans="2:37" x14ac:dyDescent="0.2">
      <c r="B14" s="8"/>
      <c r="C14" s="94"/>
      <c r="D14" s="94"/>
      <c r="E14" s="94"/>
      <c r="F14" s="94"/>
      <c r="G14" s="94"/>
      <c r="H14" s="37">
        <f>J14-I14</f>
        <v>4</v>
      </c>
      <c r="I14" s="37">
        <v>1</v>
      </c>
      <c r="J14" s="37">
        <f>MIN(X14,L14)</f>
        <v>5</v>
      </c>
      <c r="K14" s="94"/>
      <c r="L14" s="37">
        <f>N14-M14</f>
        <v>7</v>
      </c>
      <c r="M14" s="37">
        <v>10</v>
      </c>
      <c r="N14" s="37">
        <f>AB10</f>
        <v>17</v>
      </c>
      <c r="O14" s="94"/>
      <c r="P14" s="94"/>
      <c r="Q14" s="94"/>
      <c r="R14" s="94"/>
      <c r="S14" s="94"/>
      <c r="T14" s="94"/>
      <c r="U14" s="94"/>
      <c r="V14" s="94"/>
      <c r="W14" s="94"/>
      <c r="X14" s="37">
        <f>Z14-Y14</f>
        <v>5</v>
      </c>
      <c r="Y14" s="37">
        <v>7</v>
      </c>
      <c r="Z14" s="37">
        <f>AB14</f>
        <v>12</v>
      </c>
      <c r="AA14" s="94"/>
      <c r="AB14" s="37">
        <f>AD14-AC14</f>
        <v>12</v>
      </c>
      <c r="AC14" s="37">
        <v>5</v>
      </c>
      <c r="AD14" s="37">
        <f>AB10</f>
        <v>17</v>
      </c>
      <c r="AE14" s="94"/>
      <c r="AF14" s="94"/>
      <c r="AG14" s="94"/>
      <c r="AH14" s="94"/>
      <c r="AI14" s="94"/>
      <c r="AJ14" s="94"/>
      <c r="AK14" s="95"/>
    </row>
    <row r="15" spans="2:37" x14ac:dyDescent="0.2">
      <c r="B15" s="8"/>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5"/>
    </row>
    <row r="16" spans="2:37" ht="16" thickBot="1" x14ac:dyDescent="0.25">
      <c r="B16" s="10"/>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100"/>
      <c r="AJ16" s="100"/>
      <c r="AK16" s="101"/>
    </row>
    <row r="17" spans="2:37" x14ac:dyDescent="0.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2:37" x14ac:dyDescent="0.2">
      <c r="AA18"/>
      <c r="AB18"/>
      <c r="AC18"/>
      <c r="AD18"/>
      <c r="AE18"/>
    </row>
    <row r="19" spans="2:37" x14ac:dyDescent="0.2">
      <c r="Z19" s="151"/>
      <c r="AA19" s="151"/>
      <c r="AB19" s="151"/>
      <c r="AC19" s="151"/>
      <c r="AD19" s="151"/>
      <c r="AE19" s="151"/>
      <c r="AF19" s="151"/>
      <c r="AG19" s="151"/>
      <c r="AH19" s="151"/>
      <c r="AI19" s="151"/>
    </row>
    <row r="20" spans="2:37" x14ac:dyDescent="0.2">
      <c r="Z20" s="177" t="s">
        <v>122</v>
      </c>
      <c r="AA20" s="178"/>
      <c r="AB20" s="126">
        <v>90000</v>
      </c>
      <c r="AC20" s="127" t="s">
        <v>123</v>
      </c>
      <c r="AD20" s="126">
        <v>4200</v>
      </c>
      <c r="AE20" s="179" t="s">
        <v>124</v>
      </c>
      <c r="AF20" s="179"/>
      <c r="AG20" s="179"/>
      <c r="AH20" s="179"/>
      <c r="AI20" s="179"/>
      <c r="AJ20" s="128"/>
      <c r="AK20" s="129"/>
    </row>
    <row r="21" spans="2:37" x14ac:dyDescent="0.2">
      <c r="Z21" s="180" t="s">
        <v>98</v>
      </c>
      <c r="AA21" s="180" t="s">
        <v>99</v>
      </c>
      <c r="AB21" s="181" t="s">
        <v>100</v>
      </c>
      <c r="AC21" s="182"/>
      <c r="AD21" s="182"/>
      <c r="AE21" s="183"/>
      <c r="AF21" s="125"/>
      <c r="AG21" s="125"/>
      <c r="AH21" s="184" t="s">
        <v>101</v>
      </c>
      <c r="AI21" s="184"/>
      <c r="AJ21" s="184"/>
      <c r="AK21" s="184"/>
    </row>
    <row r="22" spans="2:37" x14ac:dyDescent="0.2">
      <c r="Z22" s="156"/>
      <c r="AA22" s="156"/>
      <c r="AB22" s="121"/>
      <c r="AC22" s="121"/>
      <c r="AD22" s="121"/>
      <c r="AE22" s="121"/>
      <c r="AF22" s="121"/>
      <c r="AG22" s="121"/>
      <c r="AH22" s="143" t="s">
        <v>102</v>
      </c>
      <c r="AI22" s="143"/>
      <c r="AJ22" s="143" t="s">
        <v>103</v>
      </c>
      <c r="AK22" s="143"/>
    </row>
    <row r="23" spans="2:37" x14ac:dyDescent="0.2">
      <c r="Z23" s="156"/>
      <c r="AA23" s="156"/>
      <c r="AB23" s="121"/>
      <c r="AC23" s="121"/>
      <c r="AD23" s="121"/>
      <c r="AE23" s="121"/>
      <c r="AF23" s="121"/>
      <c r="AG23" s="121"/>
      <c r="AH23" s="50" t="s">
        <v>104</v>
      </c>
      <c r="AI23" s="50" t="s">
        <v>105</v>
      </c>
      <c r="AJ23" s="50" t="s">
        <v>104</v>
      </c>
      <c r="AK23" s="50" t="s">
        <v>105</v>
      </c>
    </row>
    <row r="24" spans="2:37" x14ac:dyDescent="0.2">
      <c r="Z24" s="50" t="s">
        <v>3</v>
      </c>
      <c r="AA24" s="120" t="s">
        <v>4</v>
      </c>
      <c r="AB24" s="102">
        <v>0</v>
      </c>
      <c r="AC24" s="19"/>
      <c r="AD24" s="19"/>
      <c r="AE24" s="19"/>
      <c r="AF24" s="19"/>
      <c r="AG24" s="19"/>
      <c r="AH24" s="103" t="str">
        <f>'Scenario 1'!J3</f>
        <v>t(e)</v>
      </c>
      <c r="AI24" s="82">
        <v>3000</v>
      </c>
      <c r="AJ24" s="19">
        <v>0</v>
      </c>
      <c r="AK24" s="82">
        <v>0</v>
      </c>
    </row>
    <row r="25" spans="2:37" x14ac:dyDescent="0.2">
      <c r="Z25" s="50" t="s">
        <v>5</v>
      </c>
      <c r="AA25" s="122">
        <v>4000</v>
      </c>
      <c r="AB25" s="102">
        <v>2</v>
      </c>
      <c r="AC25" s="19">
        <v>1</v>
      </c>
      <c r="AD25" s="19">
        <v>0</v>
      </c>
      <c r="AE25" s="19"/>
      <c r="AF25" s="19"/>
      <c r="AG25" s="19"/>
      <c r="AH25" s="103">
        <f>'Scenario 1'!J4</f>
        <v>2</v>
      </c>
      <c r="AI25" s="82">
        <v>8000</v>
      </c>
      <c r="AJ25" s="19">
        <v>2</v>
      </c>
      <c r="AK25" s="82">
        <v>4000</v>
      </c>
    </row>
    <row r="26" spans="2:37" ht="21" x14ac:dyDescent="0.25">
      <c r="R26" s="160"/>
      <c r="S26" s="160"/>
      <c r="T26" s="160"/>
      <c r="U26" s="160"/>
      <c r="V26" s="160"/>
      <c r="Z26" s="50" t="s">
        <v>6</v>
      </c>
      <c r="AA26" s="122">
        <v>5000</v>
      </c>
      <c r="AB26" s="102">
        <v>2</v>
      </c>
      <c r="AC26" s="19">
        <v>1</v>
      </c>
      <c r="AD26" s="19">
        <v>0</v>
      </c>
      <c r="AE26" s="19"/>
      <c r="AF26" s="19"/>
      <c r="AG26" s="19"/>
      <c r="AH26" s="103">
        <f>'Scenario 1'!J5</f>
        <v>6</v>
      </c>
      <c r="AI26" s="82">
        <v>10000</v>
      </c>
      <c r="AJ26" s="19">
        <v>2</v>
      </c>
      <c r="AK26" s="82">
        <v>5000</v>
      </c>
    </row>
    <row r="27" spans="2:37" ht="21" x14ac:dyDescent="0.25">
      <c r="R27" s="159"/>
      <c r="S27" s="159"/>
      <c r="T27" s="159"/>
      <c r="U27" s="159"/>
      <c r="V27" s="159"/>
      <c r="Z27" s="50" t="s">
        <v>7</v>
      </c>
      <c r="AA27" s="122">
        <v>6000</v>
      </c>
      <c r="AB27" s="102">
        <v>0</v>
      </c>
      <c r="AC27" s="19"/>
      <c r="AD27" s="19"/>
      <c r="AE27" s="19"/>
      <c r="AF27" s="19"/>
      <c r="AG27" s="19"/>
      <c r="AH27" s="103">
        <f>'Scenario 1'!J6</f>
        <v>6</v>
      </c>
      <c r="AI27" s="82">
        <v>18000</v>
      </c>
      <c r="AJ27" s="19">
        <v>3</v>
      </c>
      <c r="AK27" s="82">
        <v>6000</v>
      </c>
    </row>
    <row r="28" spans="2:37" ht="21" x14ac:dyDescent="0.25">
      <c r="R28" s="158"/>
      <c r="S28" s="158"/>
      <c r="T28" s="158"/>
      <c r="U28" s="158"/>
      <c r="V28" s="158"/>
      <c r="Z28" s="50" t="s">
        <v>8</v>
      </c>
      <c r="AA28" s="122">
        <v>7000</v>
      </c>
      <c r="AB28" s="102">
        <v>3</v>
      </c>
      <c r="AC28" s="19"/>
      <c r="AD28" s="19"/>
      <c r="AE28" s="19"/>
      <c r="AF28" s="19"/>
      <c r="AG28" s="19"/>
      <c r="AH28" s="103">
        <f>'Scenario 1'!J7</f>
        <v>8</v>
      </c>
      <c r="AI28" s="82">
        <v>22000</v>
      </c>
      <c r="AJ28" s="19">
        <v>3</v>
      </c>
      <c r="AK28" s="82">
        <v>7000</v>
      </c>
    </row>
    <row r="29" spans="2:37" ht="21" x14ac:dyDescent="0.25">
      <c r="R29" s="157"/>
      <c r="S29" s="157"/>
      <c r="T29" s="157"/>
      <c r="U29" s="157"/>
      <c r="V29" s="157"/>
      <c r="Z29" s="50" t="s">
        <v>9</v>
      </c>
      <c r="AA29" s="122">
        <v>3000</v>
      </c>
      <c r="AB29" s="102">
        <v>1</v>
      </c>
      <c r="AC29" s="19">
        <v>0</v>
      </c>
      <c r="AD29" s="19"/>
      <c r="AE29" s="19"/>
      <c r="AF29" s="19"/>
      <c r="AG29" s="19"/>
      <c r="AH29" s="103">
        <f>'Scenario 1'!J8</f>
        <v>10</v>
      </c>
      <c r="AI29" s="82">
        <v>6000</v>
      </c>
      <c r="AJ29" s="19">
        <v>1</v>
      </c>
      <c r="AK29" s="82">
        <v>3000</v>
      </c>
    </row>
    <row r="30" spans="2:37" ht="21" x14ac:dyDescent="0.25">
      <c r="R30" s="147"/>
      <c r="S30" s="147"/>
      <c r="T30" s="147"/>
      <c r="U30" s="147"/>
      <c r="V30" s="147"/>
      <c r="Z30" s="50" t="s">
        <v>10</v>
      </c>
      <c r="AA30" s="122">
        <v>4000</v>
      </c>
      <c r="AB30" s="102">
        <v>3</v>
      </c>
      <c r="AC30" s="19">
        <v>2</v>
      </c>
      <c r="AD30" s="19">
        <v>1</v>
      </c>
      <c r="AE30" s="19">
        <v>0</v>
      </c>
      <c r="AF30" s="19"/>
      <c r="AG30" s="19"/>
      <c r="AH30" s="103">
        <f>'Scenario 1'!J9</f>
        <v>5</v>
      </c>
      <c r="AI30" s="82">
        <v>12000</v>
      </c>
      <c r="AJ30" s="19">
        <v>3</v>
      </c>
      <c r="AK30" s="82">
        <v>4000</v>
      </c>
    </row>
    <row r="31" spans="2:37" x14ac:dyDescent="0.2">
      <c r="Z31" s="50" t="s">
        <v>11</v>
      </c>
      <c r="AA31" s="122">
        <v>6000</v>
      </c>
      <c r="AB31" s="123">
        <v>5</v>
      </c>
      <c r="AC31" s="19">
        <v>4</v>
      </c>
      <c r="AD31" s="19">
        <v>3</v>
      </c>
      <c r="AE31" s="19">
        <v>2</v>
      </c>
      <c r="AF31" s="19">
        <v>1</v>
      </c>
      <c r="AG31" s="19">
        <v>0</v>
      </c>
      <c r="AH31" s="103">
        <f>'Scenario 1'!J10</f>
        <v>9</v>
      </c>
      <c r="AI31" s="82">
        <v>14000</v>
      </c>
      <c r="AJ31" s="19">
        <v>2</v>
      </c>
      <c r="AK31" s="82">
        <v>6000</v>
      </c>
    </row>
    <row r="32" spans="2:37" x14ac:dyDescent="0.2">
      <c r="Z32" s="50" t="s">
        <v>12</v>
      </c>
      <c r="AA32" s="122">
        <v>4000</v>
      </c>
      <c r="AB32" s="102">
        <v>1</v>
      </c>
      <c r="AC32" s="19">
        <v>0</v>
      </c>
      <c r="AD32" s="19"/>
      <c r="AE32" s="19"/>
      <c r="AF32" s="19"/>
      <c r="AG32" s="19"/>
      <c r="AH32" s="103">
        <f>'Scenario 1'!J11</f>
        <v>7</v>
      </c>
      <c r="AI32" s="82">
        <v>9000</v>
      </c>
      <c r="AJ32" s="19">
        <v>1</v>
      </c>
      <c r="AK32" s="82">
        <v>4000</v>
      </c>
    </row>
    <row r="33" spans="2:37" x14ac:dyDescent="0.2">
      <c r="Z33" s="50" t="s">
        <v>140</v>
      </c>
      <c r="AA33" s="122">
        <v>5000</v>
      </c>
      <c r="AB33" s="102">
        <v>3</v>
      </c>
      <c r="AC33" s="19">
        <v>2</v>
      </c>
      <c r="AD33" s="19">
        <v>1</v>
      </c>
      <c r="AE33" s="19">
        <v>0</v>
      </c>
      <c r="AF33" s="19"/>
      <c r="AG33" s="19"/>
      <c r="AH33" s="103">
        <f>'Scenario 1'!J12</f>
        <v>7</v>
      </c>
      <c r="AI33" s="82">
        <v>15000</v>
      </c>
      <c r="AJ33" s="19">
        <v>3</v>
      </c>
      <c r="AK33" s="82">
        <v>5000</v>
      </c>
    </row>
    <row r="34" spans="2:37" x14ac:dyDescent="0.2">
      <c r="Z34" s="50" t="s">
        <v>141</v>
      </c>
      <c r="AA34" s="122">
        <v>4000</v>
      </c>
      <c r="AB34" s="102">
        <v>2</v>
      </c>
      <c r="AC34" s="19">
        <v>1</v>
      </c>
      <c r="AD34" s="19">
        <v>0</v>
      </c>
      <c r="AE34" s="19"/>
      <c r="AF34" s="19"/>
      <c r="AG34" s="19"/>
      <c r="AH34" s="103">
        <f>'Scenario 1'!J13</f>
        <v>12</v>
      </c>
      <c r="AI34" s="82">
        <v>11000</v>
      </c>
      <c r="AJ34" s="19">
        <v>2</v>
      </c>
      <c r="AK34" s="82">
        <v>4000</v>
      </c>
    </row>
    <row r="35" spans="2:37" x14ac:dyDescent="0.2">
      <c r="Z35" s="50" t="s">
        <v>142</v>
      </c>
      <c r="AA35" s="122">
        <v>3500</v>
      </c>
      <c r="AB35" s="102">
        <v>2</v>
      </c>
      <c r="AC35" s="19">
        <v>1</v>
      </c>
      <c r="AD35" s="19">
        <v>0</v>
      </c>
      <c r="AE35" s="19"/>
      <c r="AF35" s="19"/>
      <c r="AG35" s="19"/>
      <c r="AH35" s="103">
        <f>'Scenario 1'!J14</f>
        <v>9</v>
      </c>
      <c r="AI35" s="82">
        <v>8000</v>
      </c>
      <c r="AJ35" s="19">
        <v>2</v>
      </c>
      <c r="AK35" s="82">
        <v>3500</v>
      </c>
    </row>
    <row r="36" spans="2:37" x14ac:dyDescent="0.2">
      <c r="Z36" s="50" t="s">
        <v>143</v>
      </c>
      <c r="AA36" s="122">
        <v>6000</v>
      </c>
      <c r="AB36" s="102">
        <v>3</v>
      </c>
      <c r="AC36" s="19">
        <v>2</v>
      </c>
      <c r="AD36" s="19">
        <v>1</v>
      </c>
      <c r="AE36" s="19">
        <v>0</v>
      </c>
      <c r="AF36" s="19"/>
      <c r="AG36" s="19"/>
      <c r="AH36" s="103">
        <f>'Scenario 1'!J15</f>
        <v>7</v>
      </c>
      <c r="AI36" s="82">
        <v>20000</v>
      </c>
      <c r="AJ36" s="19">
        <v>3</v>
      </c>
      <c r="AK36" s="82">
        <v>6000</v>
      </c>
    </row>
    <row r="37" spans="2:37" x14ac:dyDescent="0.2">
      <c r="Z37" s="50" t="s">
        <v>144</v>
      </c>
      <c r="AA37" s="122" t="s">
        <v>4</v>
      </c>
      <c r="AB37" s="102">
        <v>0</v>
      </c>
      <c r="AC37" s="19"/>
      <c r="AD37" s="19"/>
      <c r="AE37" s="19"/>
      <c r="AF37" s="19"/>
      <c r="AG37" s="19"/>
      <c r="AH37" s="103">
        <f>'Scenario 1'!J16</f>
        <v>9</v>
      </c>
      <c r="AI37" s="82">
        <v>30000</v>
      </c>
      <c r="AJ37" s="19">
        <v>0</v>
      </c>
      <c r="AK37" s="82">
        <v>0</v>
      </c>
    </row>
    <row r="38" spans="2:37" x14ac:dyDescent="0.2">
      <c r="Z38" s="50" t="s">
        <v>145</v>
      </c>
      <c r="AA38" s="122">
        <v>2000</v>
      </c>
      <c r="AB38" s="102">
        <v>1</v>
      </c>
      <c r="AC38" s="19">
        <v>0</v>
      </c>
      <c r="AD38" s="19"/>
      <c r="AE38" s="19"/>
      <c r="AF38" s="19"/>
      <c r="AG38" s="19"/>
      <c r="AH38" s="103">
        <f>'Scenario 1'!J17</f>
        <v>1</v>
      </c>
      <c r="AI38" s="82">
        <v>6000</v>
      </c>
      <c r="AJ38" s="19">
        <v>1</v>
      </c>
      <c r="AK38" s="82">
        <v>2000</v>
      </c>
    </row>
    <row r="39" spans="2:37" x14ac:dyDescent="0.2">
      <c r="Z39" s="80"/>
      <c r="AA39"/>
      <c r="AB39"/>
      <c r="AC39"/>
      <c r="AD39"/>
      <c r="AE39"/>
      <c r="AF39" s="80"/>
      <c r="AG39" s="83"/>
      <c r="AH39" s="80"/>
      <c r="AI39" s="83"/>
    </row>
    <row r="40" spans="2:37" x14ac:dyDescent="0.2">
      <c r="AA40"/>
      <c r="AB40"/>
      <c r="AC40"/>
      <c r="AD40"/>
      <c r="AE40"/>
    </row>
    <row r="41" spans="2:37" x14ac:dyDescent="0.2">
      <c r="E41"/>
      <c r="F41"/>
      <c r="G41" s="169" t="s">
        <v>106</v>
      </c>
      <c r="H41" s="170"/>
      <c r="I41" s="170"/>
      <c r="J41" s="170"/>
      <c r="K41" s="170"/>
      <c r="L41" s="170"/>
      <c r="M41" s="170"/>
      <c r="N41" s="170"/>
      <c r="O41" s="170"/>
      <c r="P41" s="170"/>
      <c r="Q41" s="170"/>
      <c r="R41" s="170"/>
      <c r="S41" s="170"/>
      <c r="T41" s="170"/>
      <c r="U41" s="170"/>
      <c r="V41" s="171"/>
      <c r="AA41"/>
      <c r="AB41"/>
      <c r="AC41"/>
      <c r="AD41"/>
      <c r="AE41"/>
    </row>
    <row r="42" spans="2:37" ht="15" customHeight="1" x14ac:dyDescent="0.2">
      <c r="E42"/>
      <c r="F42"/>
      <c r="G42" s="172"/>
      <c r="H42" s="173"/>
      <c r="I42" s="173"/>
      <c r="J42" s="173"/>
      <c r="K42" s="173"/>
      <c r="L42" s="173"/>
      <c r="M42" s="173"/>
      <c r="N42" s="173"/>
      <c r="O42" s="173"/>
      <c r="P42" s="173"/>
      <c r="Q42" s="173"/>
      <c r="R42" s="173"/>
      <c r="S42" s="173"/>
      <c r="T42" s="173"/>
      <c r="U42" s="173"/>
      <c r="V42" s="174"/>
      <c r="AA42"/>
      <c r="AB42"/>
      <c r="AC42"/>
      <c r="AD42"/>
      <c r="AE42"/>
    </row>
    <row r="43" spans="2:37" ht="15" customHeight="1" x14ac:dyDescent="0.2">
      <c r="B43" s="137" t="s">
        <v>113</v>
      </c>
      <c r="C43" s="138"/>
      <c r="D43" s="138"/>
      <c r="E43" s="138"/>
      <c r="F43" s="139"/>
      <c r="G43" s="137" t="s">
        <v>114</v>
      </c>
      <c r="H43" s="139"/>
      <c r="I43" s="137" t="s">
        <v>115</v>
      </c>
      <c r="J43" s="139"/>
      <c r="K43" s="137" t="s">
        <v>116</v>
      </c>
      <c r="L43" s="139"/>
      <c r="M43" s="137" t="s">
        <v>117</v>
      </c>
      <c r="N43" s="139"/>
      <c r="O43" s="137" t="s">
        <v>118</v>
      </c>
      <c r="P43" s="139"/>
      <c r="Q43" s="137" t="s">
        <v>119</v>
      </c>
      <c r="R43" s="139"/>
      <c r="S43" s="137" t="s">
        <v>120</v>
      </c>
      <c r="T43" s="139"/>
      <c r="U43" s="137" t="s">
        <v>121</v>
      </c>
      <c r="V43" s="139"/>
      <c r="W43" s="137" t="s">
        <v>151</v>
      </c>
      <c r="X43" s="139"/>
      <c r="Y43" s="137" t="s">
        <v>152</v>
      </c>
      <c r="Z43" s="139"/>
      <c r="AA43" s="137" t="s">
        <v>153</v>
      </c>
      <c r="AB43" s="139"/>
      <c r="AC43" s="137" t="s">
        <v>154</v>
      </c>
      <c r="AD43" s="139"/>
      <c r="AE43" s="137" t="s">
        <v>155</v>
      </c>
      <c r="AF43" s="139"/>
      <c r="AG43" s="137" t="s">
        <v>156</v>
      </c>
      <c r="AH43" s="139"/>
    </row>
    <row r="44" spans="2:37" ht="21" customHeight="1" x14ac:dyDescent="0.25">
      <c r="B44" s="148" t="s">
        <v>146</v>
      </c>
      <c r="C44" s="149"/>
      <c r="D44" s="149"/>
      <c r="E44" s="149"/>
      <c r="F44" s="150"/>
      <c r="G44" s="135">
        <v>37</v>
      </c>
      <c r="H44" s="136"/>
      <c r="I44" s="135">
        <v>36</v>
      </c>
      <c r="J44" s="136"/>
      <c r="K44" s="135">
        <v>36</v>
      </c>
      <c r="L44" s="136"/>
      <c r="M44" s="135">
        <v>36</v>
      </c>
      <c r="N44" s="136"/>
      <c r="O44" s="135">
        <v>36</v>
      </c>
      <c r="P44" s="136"/>
      <c r="Q44" s="135">
        <v>35</v>
      </c>
      <c r="R44" s="136"/>
      <c r="S44" s="135">
        <v>34</v>
      </c>
      <c r="T44" s="136"/>
      <c r="U44" s="135">
        <v>33</v>
      </c>
      <c r="V44" s="136"/>
      <c r="W44" s="135">
        <v>32</v>
      </c>
      <c r="X44" s="136"/>
      <c r="Y44" s="135">
        <v>31</v>
      </c>
      <c r="Z44" s="136"/>
      <c r="AA44" s="135">
        <v>30</v>
      </c>
      <c r="AB44" s="136"/>
      <c r="AC44" s="135">
        <v>29</v>
      </c>
      <c r="AD44" s="136"/>
      <c r="AE44" s="135">
        <v>28</v>
      </c>
      <c r="AF44" s="136"/>
      <c r="AG44" s="135">
        <f>$D$6+$I$6+$M$6+$Q$6+$AC$10+$AG$7+$AG$13</f>
        <v>27</v>
      </c>
      <c r="AH44" s="136"/>
    </row>
    <row r="45" spans="2:37" ht="21" x14ac:dyDescent="0.25">
      <c r="B45" s="140" t="s">
        <v>147</v>
      </c>
      <c r="C45" s="141"/>
      <c r="D45" s="141"/>
      <c r="E45" s="141"/>
      <c r="F45" s="142"/>
      <c r="G45" s="135">
        <v>33</v>
      </c>
      <c r="H45" s="136"/>
      <c r="I45" s="135">
        <v>32</v>
      </c>
      <c r="J45" s="136"/>
      <c r="K45" s="135">
        <v>31</v>
      </c>
      <c r="L45" s="136"/>
      <c r="M45" s="135">
        <v>30</v>
      </c>
      <c r="N45" s="136"/>
      <c r="O45" s="135">
        <v>29</v>
      </c>
      <c r="P45" s="136"/>
      <c r="Q45" s="135">
        <v>28</v>
      </c>
      <c r="R45" s="136"/>
      <c r="S45" s="135">
        <v>28</v>
      </c>
      <c r="T45" s="136"/>
      <c r="U45" s="135">
        <v>28</v>
      </c>
      <c r="V45" s="136"/>
      <c r="W45" s="135">
        <v>28</v>
      </c>
      <c r="X45" s="136"/>
      <c r="Y45" s="135">
        <v>27</v>
      </c>
      <c r="Z45" s="136"/>
      <c r="AA45" s="135">
        <v>26</v>
      </c>
      <c r="AB45" s="136"/>
      <c r="AC45" s="135">
        <v>26</v>
      </c>
      <c r="AD45" s="136"/>
      <c r="AE45" s="135">
        <v>26</v>
      </c>
      <c r="AF45" s="136"/>
      <c r="AG45" s="135">
        <f>$D$6+$I$6+$U$10+$Y$10+$AG$7+$AG$13</f>
        <v>26</v>
      </c>
      <c r="AH45" s="136"/>
    </row>
    <row r="46" spans="2:37" ht="21" x14ac:dyDescent="0.25">
      <c r="B46" s="164" t="s">
        <v>148</v>
      </c>
      <c r="C46" s="165"/>
      <c r="D46" s="165"/>
      <c r="E46" s="165"/>
      <c r="F46" s="166"/>
      <c r="G46" s="167">
        <v>40</v>
      </c>
      <c r="H46" s="168"/>
      <c r="I46" s="167">
        <v>39</v>
      </c>
      <c r="J46" s="168"/>
      <c r="K46" s="167">
        <v>38</v>
      </c>
      <c r="L46" s="168"/>
      <c r="M46" s="167">
        <v>37</v>
      </c>
      <c r="N46" s="168"/>
      <c r="O46" s="167">
        <v>36</v>
      </c>
      <c r="P46" s="168"/>
      <c r="Q46" s="167">
        <v>35</v>
      </c>
      <c r="R46" s="168"/>
      <c r="S46" s="167">
        <v>34</v>
      </c>
      <c r="T46" s="168"/>
      <c r="U46" s="167">
        <v>33</v>
      </c>
      <c r="V46" s="168"/>
      <c r="W46" s="167">
        <v>32</v>
      </c>
      <c r="X46" s="168"/>
      <c r="Y46" s="167">
        <v>31</v>
      </c>
      <c r="Z46" s="168"/>
      <c r="AA46" s="167">
        <v>30</v>
      </c>
      <c r="AB46" s="168"/>
      <c r="AC46" s="167">
        <v>29</v>
      </c>
      <c r="AD46" s="168"/>
      <c r="AE46" s="167">
        <v>28</v>
      </c>
      <c r="AF46" s="168"/>
      <c r="AG46" s="167">
        <f>$D$6+$I$10+$Q$10+$U$10+$Y$10+$AG$7+$AG$13</f>
        <v>28</v>
      </c>
      <c r="AH46" s="168"/>
    </row>
    <row r="47" spans="2:37" ht="21" x14ac:dyDescent="0.25">
      <c r="B47" s="161" t="s">
        <v>149</v>
      </c>
      <c r="C47" s="162"/>
      <c r="D47" s="162"/>
      <c r="E47" s="162"/>
      <c r="F47" s="163"/>
      <c r="G47" s="135">
        <v>28</v>
      </c>
      <c r="H47" s="136"/>
      <c r="I47" s="135">
        <v>27</v>
      </c>
      <c r="J47" s="136"/>
      <c r="K47" s="135">
        <v>27</v>
      </c>
      <c r="L47" s="136"/>
      <c r="M47" s="135">
        <v>27</v>
      </c>
      <c r="N47" s="136"/>
      <c r="O47" s="135">
        <v>27</v>
      </c>
      <c r="P47" s="136"/>
      <c r="Q47" s="135">
        <v>27</v>
      </c>
      <c r="R47" s="136"/>
      <c r="S47" s="135">
        <v>27</v>
      </c>
      <c r="T47" s="136"/>
      <c r="U47" s="135">
        <v>27</v>
      </c>
      <c r="V47" s="136"/>
      <c r="W47" s="135">
        <v>27</v>
      </c>
      <c r="X47" s="136"/>
      <c r="Y47" s="135">
        <v>27</v>
      </c>
      <c r="Z47" s="136"/>
      <c r="AA47" s="135">
        <v>27</v>
      </c>
      <c r="AB47" s="136"/>
      <c r="AC47" s="135">
        <v>26</v>
      </c>
      <c r="AD47" s="136"/>
      <c r="AE47" s="135">
        <v>25</v>
      </c>
      <c r="AF47" s="136"/>
      <c r="AG47" s="135">
        <f>$D$6+$I$14+$M$14+$AC$10+$AG$7+$AG$13</f>
        <v>24</v>
      </c>
      <c r="AH47" s="136"/>
    </row>
    <row r="48" spans="2:37" ht="21" x14ac:dyDescent="0.25">
      <c r="B48" s="132" t="s">
        <v>150</v>
      </c>
      <c r="C48" s="133"/>
      <c r="D48" s="133"/>
      <c r="E48" s="133"/>
      <c r="F48" s="134"/>
      <c r="G48" s="135">
        <v>34</v>
      </c>
      <c r="H48" s="136"/>
      <c r="I48" s="135">
        <v>33</v>
      </c>
      <c r="J48" s="136"/>
      <c r="K48" s="135">
        <v>33</v>
      </c>
      <c r="L48" s="136"/>
      <c r="M48" s="135">
        <v>33</v>
      </c>
      <c r="N48" s="136"/>
      <c r="O48" s="135">
        <v>33</v>
      </c>
      <c r="P48" s="136"/>
      <c r="Q48" s="135">
        <v>33</v>
      </c>
      <c r="R48" s="136"/>
      <c r="S48" s="135">
        <v>33</v>
      </c>
      <c r="T48" s="136"/>
      <c r="U48" s="135">
        <v>33</v>
      </c>
      <c r="V48" s="136"/>
      <c r="W48" s="135">
        <v>32</v>
      </c>
      <c r="X48" s="136"/>
      <c r="Y48" s="135">
        <v>31</v>
      </c>
      <c r="Z48" s="136"/>
      <c r="AA48" s="135">
        <v>30</v>
      </c>
      <c r="AB48" s="136"/>
      <c r="AC48" s="135">
        <v>28</v>
      </c>
      <c r="AD48" s="136"/>
      <c r="AE48" s="135">
        <v>27</v>
      </c>
      <c r="AF48" s="136"/>
      <c r="AG48" s="135">
        <f>$D$6+$I$14+$Y$14+$AC$14+$AC$10+$AG$7+$AG$13</f>
        <v>26</v>
      </c>
      <c r="AH48" s="136"/>
    </row>
    <row r="49" spans="25:31" x14ac:dyDescent="0.2">
      <c r="AA49"/>
      <c r="AB49"/>
      <c r="AC49"/>
      <c r="AD49"/>
      <c r="AE49"/>
    </row>
    <row r="50" spans="25:31" x14ac:dyDescent="0.2">
      <c r="AA50"/>
      <c r="AB50"/>
      <c r="AC50"/>
      <c r="AD50"/>
      <c r="AE50"/>
    </row>
    <row r="51" spans="25:31" x14ac:dyDescent="0.2">
      <c r="AA51"/>
      <c r="AB51"/>
      <c r="AC51"/>
      <c r="AD51"/>
      <c r="AE51"/>
    </row>
    <row r="52" spans="25:31" x14ac:dyDescent="0.2">
      <c r="AA52"/>
      <c r="AB52"/>
      <c r="AC52"/>
      <c r="AD52"/>
      <c r="AE52"/>
    </row>
    <row r="53" spans="25:31" ht="34" x14ac:dyDescent="0.2">
      <c r="Z53" s="108" t="s">
        <v>107</v>
      </c>
      <c r="AA53" s="108" t="s">
        <v>108</v>
      </c>
      <c r="AB53" s="108" t="s">
        <v>109</v>
      </c>
      <c r="AC53" s="108" t="s">
        <v>110</v>
      </c>
      <c r="AD53" s="108" t="s">
        <v>111</v>
      </c>
      <c r="AE53" s="108" t="s">
        <v>112</v>
      </c>
    </row>
    <row r="54" spans="25:31" ht="14.5" customHeight="1" x14ac:dyDescent="0.2">
      <c r="Y54" s="80" t="s">
        <v>114</v>
      </c>
      <c r="Z54" s="19">
        <v>40</v>
      </c>
      <c r="AA54" s="109" t="s">
        <v>4</v>
      </c>
      <c r="AB54" s="109" t="s">
        <v>4</v>
      </c>
      <c r="AC54" s="110">
        <f>SUM(AI24:AI38)</f>
        <v>192000</v>
      </c>
      <c r="AD54" s="111">
        <f>AB20</f>
        <v>90000</v>
      </c>
      <c r="AE54" s="110">
        <f t="shared" ref="AE54:AE63" si="0">AC54+AD54</f>
        <v>282000</v>
      </c>
    </row>
    <row r="55" spans="25:31" ht="14.5" customHeight="1" x14ac:dyDescent="0.2">
      <c r="Y55" s="80" t="s">
        <v>115</v>
      </c>
      <c r="Z55" s="19">
        <v>39</v>
      </c>
      <c r="AA55" s="50" t="s">
        <v>145</v>
      </c>
      <c r="AB55" s="112">
        <f>AA38</f>
        <v>2000</v>
      </c>
      <c r="AC55" s="110">
        <f t="shared" ref="AC55:AC63" si="1">AC54+AB55</f>
        <v>194000</v>
      </c>
      <c r="AD55" s="111">
        <f>AD54-$AD$20</f>
        <v>85800</v>
      </c>
      <c r="AE55" s="110">
        <f t="shared" si="0"/>
        <v>279800</v>
      </c>
    </row>
    <row r="56" spans="25:31" x14ac:dyDescent="0.2">
      <c r="Y56" s="80" t="s">
        <v>116</v>
      </c>
      <c r="Z56" s="113">
        <v>38</v>
      </c>
      <c r="AA56" s="114" t="s">
        <v>12</v>
      </c>
      <c r="AB56" s="115">
        <f>AA32</f>
        <v>4000</v>
      </c>
      <c r="AC56" s="116">
        <f t="shared" si="1"/>
        <v>198000</v>
      </c>
      <c r="AD56" s="117">
        <f t="shared" ref="AD56:AD63" si="2">AD55-$AD$20</f>
        <v>81600</v>
      </c>
      <c r="AE56" s="116">
        <f t="shared" si="0"/>
        <v>279600</v>
      </c>
    </row>
    <row r="57" spans="25:31" x14ac:dyDescent="0.2">
      <c r="Y57" s="80" t="s">
        <v>117</v>
      </c>
      <c r="Z57" s="19">
        <v>37</v>
      </c>
      <c r="AA57" s="50" t="s">
        <v>140</v>
      </c>
      <c r="AB57" s="112">
        <f>$AA$33</f>
        <v>5000</v>
      </c>
      <c r="AC57" s="110">
        <f t="shared" si="1"/>
        <v>203000</v>
      </c>
      <c r="AD57" s="111">
        <f t="shared" si="2"/>
        <v>77400</v>
      </c>
      <c r="AE57" s="110">
        <f t="shared" si="0"/>
        <v>280400</v>
      </c>
    </row>
    <row r="58" spans="25:31" x14ac:dyDescent="0.2">
      <c r="Y58" s="80" t="s">
        <v>118</v>
      </c>
      <c r="Z58" s="19">
        <v>36</v>
      </c>
      <c r="AA58" s="50" t="s">
        <v>140</v>
      </c>
      <c r="AB58" s="112">
        <f>$AA$33</f>
        <v>5000</v>
      </c>
      <c r="AC58" s="110">
        <f t="shared" si="1"/>
        <v>208000</v>
      </c>
      <c r="AD58" s="111">
        <f t="shared" si="2"/>
        <v>73200</v>
      </c>
      <c r="AE58" s="110">
        <f t="shared" si="0"/>
        <v>281200</v>
      </c>
    </row>
    <row r="59" spans="25:31" x14ac:dyDescent="0.2">
      <c r="Y59" s="80" t="s">
        <v>119</v>
      </c>
      <c r="Z59" s="19">
        <v>35</v>
      </c>
      <c r="AA59" s="50" t="s">
        <v>165</v>
      </c>
      <c r="AB59" s="112">
        <f>AA29+AA33</f>
        <v>8000</v>
      </c>
      <c r="AC59" s="110">
        <f t="shared" si="1"/>
        <v>216000</v>
      </c>
      <c r="AD59" s="111">
        <f t="shared" si="2"/>
        <v>69000</v>
      </c>
      <c r="AE59" s="110">
        <f t="shared" si="0"/>
        <v>285000</v>
      </c>
    </row>
    <row r="60" spans="25:31" x14ac:dyDescent="0.2">
      <c r="Y60" s="80" t="s">
        <v>120</v>
      </c>
      <c r="Z60" s="19">
        <v>34</v>
      </c>
      <c r="AA60" s="50" t="s">
        <v>166</v>
      </c>
      <c r="AB60" s="112">
        <f>$AA$26+$AA$30</f>
        <v>9000</v>
      </c>
      <c r="AC60" s="110">
        <f t="shared" si="1"/>
        <v>225000</v>
      </c>
      <c r="AD60" s="111">
        <f t="shared" si="2"/>
        <v>64800</v>
      </c>
      <c r="AE60" s="110">
        <f t="shared" si="0"/>
        <v>289800</v>
      </c>
    </row>
    <row r="61" spans="25:31" x14ac:dyDescent="0.2">
      <c r="Y61" s="80" t="s">
        <v>121</v>
      </c>
      <c r="Z61" s="19">
        <v>33</v>
      </c>
      <c r="AA61" s="50" t="s">
        <v>166</v>
      </c>
      <c r="AB61" s="112">
        <f>$AA$26+$AA$30</f>
        <v>9000</v>
      </c>
      <c r="AC61" s="110">
        <f t="shared" si="1"/>
        <v>234000</v>
      </c>
      <c r="AD61" s="111">
        <f t="shared" si="2"/>
        <v>60600</v>
      </c>
      <c r="AE61" s="110">
        <f t="shared" si="0"/>
        <v>294600</v>
      </c>
    </row>
    <row r="62" spans="25:31" x14ac:dyDescent="0.2">
      <c r="Y62" s="80" t="s">
        <v>151</v>
      </c>
      <c r="Z62" s="19">
        <v>32</v>
      </c>
      <c r="AA62" s="50" t="s">
        <v>167</v>
      </c>
      <c r="AB62" s="112">
        <f>AA30+AA31+AA35</f>
        <v>13500</v>
      </c>
      <c r="AC62" s="110">
        <f t="shared" si="1"/>
        <v>247500</v>
      </c>
      <c r="AD62" s="111">
        <f t="shared" si="2"/>
        <v>56400</v>
      </c>
      <c r="AE62" s="110">
        <f t="shared" si="0"/>
        <v>303900</v>
      </c>
    </row>
    <row r="63" spans="25:31" x14ac:dyDescent="0.2">
      <c r="Y63" s="80" t="s">
        <v>152</v>
      </c>
      <c r="Z63" s="19">
        <v>31</v>
      </c>
      <c r="AA63" s="50" t="s">
        <v>168</v>
      </c>
      <c r="AB63" s="118">
        <f>AA25+AA31+AA35</f>
        <v>13500</v>
      </c>
      <c r="AC63" s="110">
        <f t="shared" si="1"/>
        <v>261000</v>
      </c>
      <c r="AD63" s="111">
        <f t="shared" si="2"/>
        <v>52200</v>
      </c>
      <c r="AE63" s="110">
        <f t="shared" si="0"/>
        <v>313200</v>
      </c>
    </row>
    <row r="64" spans="25:31" x14ac:dyDescent="0.2">
      <c r="Y64" s="80" t="s">
        <v>153</v>
      </c>
      <c r="Z64" s="19">
        <v>30</v>
      </c>
      <c r="AA64" s="50" t="s">
        <v>170</v>
      </c>
      <c r="AB64" s="118">
        <f>AA25+AA31+AA34</f>
        <v>14000</v>
      </c>
      <c r="AC64" s="110">
        <f t="shared" ref="AC64:AC67" si="3">AC63+AB64</f>
        <v>275000</v>
      </c>
      <c r="AD64" s="111">
        <f t="shared" ref="AD64:AD67" si="4">AD63-$AD$20</f>
        <v>48000</v>
      </c>
      <c r="AE64" s="110">
        <f t="shared" ref="AE64:AE67" si="5">AC64+AD64</f>
        <v>323000</v>
      </c>
    </row>
    <row r="65" spans="2:31" x14ac:dyDescent="0.2">
      <c r="Y65" s="80" t="s">
        <v>154</v>
      </c>
      <c r="Z65" s="19">
        <v>29</v>
      </c>
      <c r="AA65" s="50" t="s">
        <v>171</v>
      </c>
      <c r="AB65" s="118">
        <f>AA36+AA31+AA34</f>
        <v>16000</v>
      </c>
      <c r="AC65" s="110">
        <f t="shared" si="3"/>
        <v>291000</v>
      </c>
      <c r="AD65" s="111">
        <f t="shared" si="4"/>
        <v>43800</v>
      </c>
      <c r="AE65" s="110">
        <f t="shared" si="5"/>
        <v>334800</v>
      </c>
    </row>
    <row r="66" spans="2:31" x14ac:dyDescent="0.2">
      <c r="Y66" s="80" t="s">
        <v>155</v>
      </c>
      <c r="Z66" s="19">
        <v>28</v>
      </c>
      <c r="AA66" s="50" t="s">
        <v>157</v>
      </c>
      <c r="AB66" s="118">
        <f>AA36+AA31</f>
        <v>12000</v>
      </c>
      <c r="AC66" s="110">
        <f t="shared" si="3"/>
        <v>303000</v>
      </c>
      <c r="AD66" s="111">
        <f t="shared" si="4"/>
        <v>39600</v>
      </c>
      <c r="AE66" s="110">
        <f t="shared" si="5"/>
        <v>342600</v>
      </c>
    </row>
    <row r="67" spans="2:31" x14ac:dyDescent="0.2">
      <c r="Y67" s="80" t="s">
        <v>156</v>
      </c>
      <c r="Z67" s="19">
        <v>28</v>
      </c>
      <c r="AA67" s="50" t="s">
        <v>143</v>
      </c>
      <c r="AB67" s="118">
        <f>AA36</f>
        <v>6000</v>
      </c>
      <c r="AC67" s="110">
        <f t="shared" si="3"/>
        <v>309000</v>
      </c>
      <c r="AD67" s="111">
        <f t="shared" si="4"/>
        <v>35400</v>
      </c>
      <c r="AE67" s="110">
        <f t="shared" si="5"/>
        <v>344400</v>
      </c>
    </row>
    <row r="68" spans="2:31" x14ac:dyDescent="0.2">
      <c r="Y68"/>
      <c r="AA68"/>
      <c r="AB68"/>
      <c r="AC68"/>
      <c r="AD68"/>
      <c r="AE68"/>
    </row>
    <row r="69" spans="2:31" x14ac:dyDescent="0.2">
      <c r="B69"/>
      <c r="C69"/>
      <c r="D69"/>
      <c r="E69"/>
      <c r="F69"/>
      <c r="G69"/>
      <c r="H69"/>
      <c r="I69"/>
      <c r="J69"/>
      <c r="K69"/>
      <c r="L69"/>
      <c r="M69"/>
      <c r="N69"/>
      <c r="O69"/>
      <c r="P69"/>
      <c r="Q69"/>
      <c r="R69"/>
      <c r="S69"/>
      <c r="T69"/>
      <c r="U69"/>
      <c r="V69"/>
      <c r="W69"/>
      <c r="X69"/>
      <c r="Y69"/>
      <c r="AA69"/>
      <c r="AB69"/>
      <c r="AC69"/>
      <c r="AD69"/>
      <c r="AE69"/>
    </row>
    <row r="70" spans="2:31" x14ac:dyDescent="0.2">
      <c r="B70"/>
      <c r="C70"/>
      <c r="D70"/>
      <c r="E70"/>
      <c r="F70"/>
      <c r="G70"/>
      <c r="H70"/>
      <c r="I70"/>
      <c r="J70"/>
      <c r="K70"/>
      <c r="L70"/>
      <c r="M70"/>
      <c r="N70"/>
      <c r="O70"/>
      <c r="P70"/>
      <c r="Q70"/>
      <c r="R70"/>
      <c r="S70"/>
      <c r="T70"/>
      <c r="U70"/>
      <c r="V70"/>
      <c r="W70"/>
      <c r="X70"/>
      <c r="Y70"/>
      <c r="AA70"/>
      <c r="AB70"/>
      <c r="AC70"/>
      <c r="AD70"/>
      <c r="AE70"/>
    </row>
    <row r="71" spans="2:31" x14ac:dyDescent="0.2">
      <c r="B71"/>
      <c r="C71"/>
      <c r="D71"/>
      <c r="E71"/>
      <c r="F71"/>
      <c r="G71"/>
      <c r="H71"/>
      <c r="I71"/>
      <c r="J71"/>
      <c r="K71"/>
      <c r="L71"/>
      <c r="M71"/>
      <c r="N71"/>
      <c r="O71"/>
      <c r="P71"/>
      <c r="Q71"/>
      <c r="R71"/>
      <c r="S71"/>
      <c r="T71"/>
      <c r="U71"/>
      <c r="V71"/>
      <c r="W71"/>
      <c r="X71"/>
      <c r="Y71"/>
      <c r="AA71"/>
      <c r="AB71"/>
      <c r="AC71"/>
      <c r="AD71"/>
      <c r="AE71"/>
    </row>
    <row r="72" spans="2:31" x14ac:dyDescent="0.2">
      <c r="B72"/>
      <c r="C72"/>
      <c r="D72"/>
      <c r="E72"/>
      <c r="F72"/>
      <c r="G72"/>
      <c r="H72"/>
      <c r="I72"/>
      <c r="J72"/>
      <c r="K72"/>
      <c r="L72"/>
      <c r="M72"/>
      <c r="N72"/>
      <c r="O72"/>
      <c r="P72"/>
      <c r="Q72"/>
      <c r="R72"/>
      <c r="S72"/>
      <c r="T72"/>
      <c r="U72"/>
      <c r="V72"/>
      <c r="W72"/>
      <c r="X72"/>
      <c r="Y72"/>
      <c r="AA72"/>
      <c r="AB72"/>
      <c r="AC72"/>
      <c r="AD72"/>
      <c r="AE72"/>
    </row>
    <row r="73" spans="2:31" x14ac:dyDescent="0.2">
      <c r="B73"/>
      <c r="C73"/>
      <c r="D73"/>
      <c r="E73"/>
      <c r="F73"/>
      <c r="G73"/>
      <c r="H73"/>
      <c r="I73"/>
      <c r="J73"/>
      <c r="K73"/>
      <c r="L73"/>
      <c r="M73"/>
      <c r="N73"/>
      <c r="O73"/>
      <c r="P73"/>
      <c r="Q73"/>
      <c r="R73"/>
      <c r="S73"/>
      <c r="T73"/>
      <c r="U73"/>
      <c r="V73"/>
      <c r="W73"/>
      <c r="X73"/>
      <c r="Y73"/>
      <c r="AA73"/>
      <c r="AB73"/>
      <c r="AC73"/>
      <c r="AD73"/>
      <c r="AE73"/>
    </row>
    <row r="74" spans="2:31" x14ac:dyDescent="0.2">
      <c r="B74"/>
      <c r="C74"/>
      <c r="D74"/>
      <c r="E74"/>
      <c r="F74"/>
      <c r="G74"/>
      <c r="H74"/>
      <c r="I74"/>
      <c r="J74"/>
      <c r="K74"/>
      <c r="L74"/>
      <c r="M74"/>
      <c r="N74"/>
      <c r="O74"/>
      <c r="P74"/>
      <c r="Q74"/>
      <c r="R74"/>
      <c r="S74"/>
      <c r="T74"/>
      <c r="U74"/>
      <c r="V74"/>
      <c r="W74"/>
      <c r="X74"/>
      <c r="Y74"/>
      <c r="AA74"/>
      <c r="AB74"/>
      <c r="AC74"/>
      <c r="AD74"/>
      <c r="AE74"/>
    </row>
    <row r="75" spans="2:31" x14ac:dyDescent="0.2">
      <c r="B75"/>
      <c r="C75"/>
      <c r="D75"/>
      <c r="E75"/>
      <c r="F75"/>
      <c r="G75"/>
      <c r="H75"/>
      <c r="I75"/>
      <c r="J75"/>
      <c r="K75"/>
      <c r="L75"/>
      <c r="M75"/>
      <c r="N75"/>
      <c r="O75"/>
      <c r="P75"/>
      <c r="Q75"/>
      <c r="R75"/>
      <c r="S75"/>
      <c r="T75"/>
      <c r="U75"/>
      <c r="V75"/>
      <c r="W75"/>
      <c r="X75"/>
      <c r="Y75"/>
      <c r="AA75"/>
      <c r="AB75"/>
      <c r="AC75"/>
      <c r="AD75"/>
      <c r="AE75"/>
    </row>
    <row r="76" spans="2:31" x14ac:dyDescent="0.2">
      <c r="B76"/>
      <c r="C76"/>
      <c r="D76"/>
      <c r="E76"/>
      <c r="F76"/>
      <c r="G76"/>
      <c r="H76"/>
      <c r="I76"/>
      <c r="J76"/>
      <c r="K76"/>
      <c r="L76"/>
      <c r="M76"/>
      <c r="N76"/>
      <c r="O76"/>
      <c r="P76"/>
      <c r="Q76"/>
      <c r="R76"/>
      <c r="S76"/>
      <c r="T76"/>
      <c r="U76"/>
      <c r="V76"/>
      <c r="W76"/>
      <c r="X76"/>
      <c r="Y76"/>
      <c r="AA76"/>
      <c r="AB76"/>
      <c r="AC76"/>
      <c r="AD76"/>
      <c r="AE76"/>
    </row>
    <row r="77" spans="2:31" x14ac:dyDescent="0.2">
      <c r="B77"/>
      <c r="C77"/>
      <c r="D77"/>
      <c r="E77"/>
      <c r="F77"/>
      <c r="G77"/>
      <c r="H77"/>
      <c r="I77"/>
      <c r="J77"/>
      <c r="K77"/>
      <c r="L77"/>
      <c r="M77"/>
      <c r="N77"/>
      <c r="O77"/>
      <c r="P77"/>
      <c r="Q77"/>
      <c r="R77"/>
      <c r="S77"/>
      <c r="T77"/>
      <c r="U77"/>
      <c r="V77"/>
      <c r="W77"/>
      <c r="X77"/>
      <c r="Y77"/>
      <c r="AA77"/>
      <c r="AB77"/>
      <c r="AC77"/>
      <c r="AD77"/>
      <c r="AE77"/>
    </row>
    <row r="78" spans="2:31" x14ac:dyDescent="0.2">
      <c r="B78"/>
      <c r="C78"/>
      <c r="D78"/>
      <c r="E78"/>
      <c r="F78"/>
      <c r="G78"/>
      <c r="H78"/>
      <c r="I78"/>
      <c r="J78"/>
      <c r="K78"/>
      <c r="L78"/>
      <c r="M78"/>
      <c r="N78"/>
      <c r="O78"/>
      <c r="P78"/>
      <c r="Q78"/>
      <c r="R78"/>
      <c r="S78"/>
      <c r="T78"/>
      <c r="U78"/>
      <c r="V78"/>
      <c r="W78"/>
      <c r="X78"/>
      <c r="Y78"/>
      <c r="AA78"/>
      <c r="AB78"/>
      <c r="AC78"/>
      <c r="AD78"/>
      <c r="AE78"/>
    </row>
    <row r="79" spans="2:31" x14ac:dyDescent="0.2">
      <c r="B79"/>
      <c r="C79"/>
      <c r="D79"/>
      <c r="E79"/>
      <c r="F79"/>
      <c r="G79"/>
      <c r="H79"/>
      <c r="I79"/>
      <c r="J79"/>
      <c r="K79"/>
      <c r="L79"/>
      <c r="M79"/>
      <c r="N79"/>
      <c r="O79"/>
      <c r="P79"/>
      <c r="Q79"/>
      <c r="R79"/>
      <c r="S79"/>
      <c r="T79"/>
      <c r="U79"/>
      <c r="V79"/>
      <c r="W79"/>
      <c r="X79"/>
      <c r="Y79"/>
      <c r="AA79"/>
      <c r="AB79"/>
      <c r="AC79"/>
      <c r="AD79"/>
      <c r="AE79"/>
    </row>
    <row r="80" spans="2:31" x14ac:dyDescent="0.2">
      <c r="B80"/>
      <c r="C80"/>
      <c r="D80"/>
      <c r="E80"/>
      <c r="F80"/>
      <c r="G80"/>
      <c r="H80"/>
      <c r="I80"/>
      <c r="J80"/>
      <c r="K80"/>
      <c r="L80"/>
      <c r="M80"/>
      <c r="N80"/>
      <c r="O80"/>
      <c r="P80"/>
      <c r="Q80"/>
      <c r="R80"/>
      <c r="S80"/>
      <c r="T80"/>
      <c r="U80"/>
      <c r="V80"/>
      <c r="W80"/>
      <c r="X80"/>
      <c r="Y80"/>
      <c r="AA80"/>
      <c r="AB80"/>
      <c r="AC80"/>
      <c r="AD80"/>
      <c r="AE80"/>
    </row>
    <row r="81" spans="2:31" x14ac:dyDescent="0.2">
      <c r="B81"/>
      <c r="C81"/>
      <c r="D81"/>
      <c r="E81"/>
      <c r="F81"/>
      <c r="G81"/>
      <c r="H81"/>
      <c r="I81"/>
      <c r="J81"/>
      <c r="K81"/>
      <c r="L81"/>
      <c r="M81"/>
      <c r="N81"/>
      <c r="O81"/>
      <c r="P81"/>
      <c r="Q81"/>
      <c r="R81"/>
      <c r="S81"/>
      <c r="T81"/>
      <c r="U81"/>
      <c r="V81"/>
      <c r="W81"/>
      <c r="X81"/>
      <c r="Y81"/>
      <c r="AA81"/>
      <c r="AB81"/>
      <c r="AC81"/>
      <c r="AD81"/>
      <c r="AE81"/>
    </row>
    <row r="82" spans="2:31" x14ac:dyDescent="0.2">
      <c r="B82"/>
      <c r="C82"/>
      <c r="D82"/>
      <c r="E82"/>
      <c r="F82"/>
      <c r="G82"/>
      <c r="H82"/>
      <c r="I82"/>
      <c r="J82"/>
      <c r="K82"/>
      <c r="L82"/>
      <c r="M82"/>
      <c r="N82"/>
      <c r="O82"/>
      <c r="P82"/>
      <c r="Q82"/>
      <c r="R82"/>
      <c r="S82"/>
      <c r="T82"/>
      <c r="U82"/>
      <c r="V82"/>
      <c r="W82"/>
      <c r="X82"/>
      <c r="Y82"/>
      <c r="AA82"/>
      <c r="AB82"/>
      <c r="AC82"/>
      <c r="AD82"/>
      <c r="AE82"/>
    </row>
    <row r="83" spans="2:31" x14ac:dyDescent="0.2">
      <c r="B83"/>
      <c r="C83"/>
      <c r="D83"/>
      <c r="E83"/>
      <c r="F83"/>
      <c r="G83"/>
      <c r="H83"/>
      <c r="I83"/>
      <c r="J83"/>
      <c r="K83"/>
      <c r="L83"/>
      <c r="M83"/>
      <c r="N83"/>
      <c r="O83"/>
      <c r="P83"/>
      <c r="Q83"/>
      <c r="R83"/>
      <c r="S83"/>
      <c r="T83"/>
      <c r="U83"/>
      <c r="V83"/>
      <c r="W83"/>
      <c r="X83"/>
      <c r="Y83"/>
      <c r="AA83"/>
      <c r="AB83"/>
      <c r="AC83"/>
      <c r="AD83"/>
      <c r="AE83"/>
    </row>
    <row r="84" spans="2:31" x14ac:dyDescent="0.2">
      <c r="B84"/>
      <c r="C84"/>
      <c r="D84"/>
      <c r="E84"/>
      <c r="F84"/>
      <c r="G84"/>
      <c r="H84"/>
      <c r="I84"/>
      <c r="J84"/>
      <c r="K84"/>
      <c r="L84"/>
      <c r="M84"/>
      <c r="N84"/>
      <c r="O84"/>
      <c r="P84"/>
      <c r="Q84"/>
      <c r="R84"/>
      <c r="S84"/>
      <c r="T84"/>
      <c r="U84"/>
      <c r="V84"/>
      <c r="W84"/>
      <c r="X84"/>
      <c r="Y84"/>
      <c r="AA84"/>
      <c r="AB84"/>
      <c r="AC84"/>
      <c r="AD84"/>
      <c r="AE84"/>
    </row>
    <row r="85" spans="2:31" x14ac:dyDescent="0.2">
      <c r="B85"/>
      <c r="C85"/>
      <c r="D85"/>
      <c r="E85"/>
      <c r="F85"/>
      <c r="G85"/>
      <c r="H85"/>
      <c r="I85"/>
      <c r="J85"/>
      <c r="K85"/>
      <c r="L85"/>
      <c r="M85"/>
      <c r="N85"/>
      <c r="O85"/>
      <c r="P85"/>
      <c r="Q85"/>
      <c r="R85"/>
      <c r="S85"/>
      <c r="T85"/>
      <c r="U85"/>
      <c r="V85"/>
      <c r="W85"/>
      <c r="X85"/>
    </row>
  </sheetData>
  <mergeCells count="105">
    <mergeCell ref="R27:V27"/>
    <mergeCell ref="R28:V28"/>
    <mergeCell ref="R29:V29"/>
    <mergeCell ref="R26:V26"/>
    <mergeCell ref="S44:T44"/>
    <mergeCell ref="U44:V44"/>
    <mergeCell ref="W44:X44"/>
    <mergeCell ref="Y44:Z44"/>
    <mergeCell ref="AA44:AB44"/>
    <mergeCell ref="R30:V30"/>
    <mergeCell ref="B44:F44"/>
    <mergeCell ref="G44:H44"/>
    <mergeCell ref="I44:J44"/>
    <mergeCell ref="K44:L44"/>
    <mergeCell ref="M44:N44"/>
    <mergeCell ref="O44:P44"/>
    <mergeCell ref="Q44:R44"/>
    <mergeCell ref="G41:V42"/>
    <mergeCell ref="B43:F43"/>
    <mergeCell ref="G43:H43"/>
    <mergeCell ref="I43:J43"/>
    <mergeCell ref="K43:L43"/>
    <mergeCell ref="M43:N43"/>
    <mergeCell ref="O43:P43"/>
    <mergeCell ref="Q43:R43"/>
    <mergeCell ref="S43:T43"/>
    <mergeCell ref="U43:V43"/>
    <mergeCell ref="U45:V45"/>
    <mergeCell ref="W45:X45"/>
    <mergeCell ref="Y45:Z45"/>
    <mergeCell ref="AA45:AB45"/>
    <mergeCell ref="AC45:AD45"/>
    <mergeCell ref="AE45:AF45"/>
    <mergeCell ref="B45:F45"/>
    <mergeCell ref="G45:H45"/>
    <mergeCell ref="I45:J45"/>
    <mergeCell ref="K45:L45"/>
    <mergeCell ref="M45:N45"/>
    <mergeCell ref="O45:P45"/>
    <mergeCell ref="Q45:R45"/>
    <mergeCell ref="S45:T45"/>
    <mergeCell ref="B47:F47"/>
    <mergeCell ref="G47:H47"/>
    <mergeCell ref="I47:J47"/>
    <mergeCell ref="K47:L47"/>
    <mergeCell ref="M47:N47"/>
    <mergeCell ref="O47:P47"/>
    <mergeCell ref="W46:X46"/>
    <mergeCell ref="Y46:Z46"/>
    <mergeCell ref="AA46:AB46"/>
    <mergeCell ref="B46:F46"/>
    <mergeCell ref="G46:H46"/>
    <mergeCell ref="I46:J46"/>
    <mergeCell ref="K46:L46"/>
    <mergeCell ref="M46:N46"/>
    <mergeCell ref="O46:P46"/>
    <mergeCell ref="Q46:R46"/>
    <mergeCell ref="S46:T46"/>
    <mergeCell ref="U46:V46"/>
    <mergeCell ref="AC47:AD47"/>
    <mergeCell ref="AE47:AF47"/>
    <mergeCell ref="AG47:AH47"/>
    <mergeCell ref="Q47:R47"/>
    <mergeCell ref="S47:T47"/>
    <mergeCell ref="U47:V47"/>
    <mergeCell ref="W47:X47"/>
    <mergeCell ref="Y47:Z47"/>
    <mergeCell ref="AA47:AB47"/>
    <mergeCell ref="AE48:AF48"/>
    <mergeCell ref="AG48:AH48"/>
    <mergeCell ref="S48:T48"/>
    <mergeCell ref="U48:V48"/>
    <mergeCell ref="W48:X48"/>
    <mergeCell ref="Y48:Z48"/>
    <mergeCell ref="AA48:AB48"/>
    <mergeCell ref="AC48:AD48"/>
    <mergeCell ref="B48:F48"/>
    <mergeCell ref="G48:H48"/>
    <mergeCell ref="I48:J48"/>
    <mergeCell ref="K48:L48"/>
    <mergeCell ref="M48:N48"/>
    <mergeCell ref="O48:P48"/>
    <mergeCell ref="Q48:R48"/>
    <mergeCell ref="Z19:AI19"/>
    <mergeCell ref="Z20:AA20"/>
    <mergeCell ref="AE20:AI20"/>
    <mergeCell ref="Z21:Z23"/>
    <mergeCell ref="AA21:AA23"/>
    <mergeCell ref="AB21:AE21"/>
    <mergeCell ref="AH21:AK21"/>
    <mergeCell ref="AH22:AI22"/>
    <mergeCell ref="AJ22:AK22"/>
    <mergeCell ref="W43:X43"/>
    <mergeCell ref="Y43:Z43"/>
    <mergeCell ref="AA43:AB43"/>
    <mergeCell ref="AC43:AD43"/>
    <mergeCell ref="AE43:AF43"/>
    <mergeCell ref="AG43:AH43"/>
    <mergeCell ref="AC44:AD44"/>
    <mergeCell ref="AC46:AD46"/>
    <mergeCell ref="AE46:AF46"/>
    <mergeCell ref="AG45:AH45"/>
    <mergeCell ref="AG46:AH46"/>
    <mergeCell ref="AE44:AF44"/>
    <mergeCell ref="AG44:AH44"/>
  </mergeCells>
  <phoneticPr fontId="28" type="noConversion"/>
  <conditionalFormatting sqref="C5">
    <cfRule type="cellIs" dxfId="13" priority="14" operator="equal">
      <formula>0</formula>
    </cfRule>
  </conditionalFormatting>
  <conditionalFormatting sqref="H5">
    <cfRule type="cellIs" dxfId="12" priority="12" operator="equal">
      <formula>0</formula>
    </cfRule>
  </conditionalFormatting>
  <conditionalFormatting sqref="H9">
    <cfRule type="cellIs" dxfId="11" priority="13" operator="equal">
      <formula>0</formula>
    </cfRule>
  </conditionalFormatting>
  <conditionalFormatting sqref="H13">
    <cfRule type="cellIs" dxfId="10" priority="11" operator="equal">
      <formula>0</formula>
    </cfRule>
  </conditionalFormatting>
  <conditionalFormatting sqref="L5">
    <cfRule type="cellIs" dxfId="9" priority="10" operator="equal">
      <formula>0</formula>
    </cfRule>
  </conditionalFormatting>
  <conditionalFormatting sqref="P5">
    <cfRule type="cellIs" dxfId="8" priority="9" operator="equal">
      <formula>0</formula>
    </cfRule>
  </conditionalFormatting>
  <conditionalFormatting sqref="P9">
    <cfRule type="cellIs" dxfId="7" priority="8" operator="equal">
      <formula>0</formula>
    </cfRule>
  </conditionalFormatting>
  <conditionalFormatting sqref="T9">
    <cfRule type="cellIs" dxfId="6" priority="7" operator="equal">
      <formula>0</formula>
    </cfRule>
  </conditionalFormatting>
  <conditionalFormatting sqref="X9">
    <cfRule type="cellIs" dxfId="5" priority="6" operator="equal">
      <formula>0</formula>
    </cfRule>
  </conditionalFormatting>
  <conditionalFormatting sqref="X13">
    <cfRule type="cellIs" dxfId="4" priority="4" operator="equal">
      <formula>0</formula>
    </cfRule>
  </conditionalFormatting>
  <conditionalFormatting sqref="AB9">
    <cfRule type="cellIs" dxfId="3" priority="5" operator="equal">
      <formula>0</formula>
    </cfRule>
  </conditionalFormatting>
  <conditionalFormatting sqref="AB13">
    <cfRule type="cellIs" dxfId="2" priority="3" operator="equal">
      <formula>0</formula>
    </cfRule>
  </conditionalFormatting>
  <conditionalFormatting sqref="AF6">
    <cfRule type="cellIs" dxfId="1" priority="1" operator="equal">
      <formula>0</formula>
    </cfRule>
  </conditionalFormatting>
  <conditionalFormatting sqref="AF12">
    <cfRule type="cellIs" dxfId="0" priority="2" operator="equal">
      <formula>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58AABD37C4F4F4B9BD5ED447557DCBD" ma:contentTypeVersion="13" ma:contentTypeDescription="Create a new document." ma:contentTypeScope="" ma:versionID="34ac11edfd7c9df7283bff8dbb365c17">
  <xsd:schema xmlns:xsd="http://www.w3.org/2001/XMLSchema" xmlns:xs="http://www.w3.org/2001/XMLSchema" xmlns:p="http://schemas.microsoft.com/office/2006/metadata/properties" xmlns:ns3="4f9881ca-1ad9-4daa-9030-2a1fa34cb895" xmlns:ns4="92486ea5-56a3-4d34-8b76-97a16020a2d1" targetNamespace="http://schemas.microsoft.com/office/2006/metadata/properties" ma:root="true" ma:fieldsID="d85fc564104fd98dc6463ff41c4ba9ae" ns3:_="" ns4:_="">
    <xsd:import namespace="4f9881ca-1ad9-4daa-9030-2a1fa34cb895"/>
    <xsd:import namespace="92486ea5-56a3-4d34-8b76-97a16020a2d1"/>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9881ca-1ad9-4daa-9030-2a1fa34cb8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486ea5-56a3-4d34-8b76-97a16020a2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54E04B-900E-4A2C-8ECC-15DC9A893EA7}">
  <ds:schemaRefs>
    <ds:schemaRef ds:uri="4f9881ca-1ad9-4daa-9030-2a1fa34cb895"/>
    <ds:schemaRef ds:uri="http://purl.org/dc/dcmitype/"/>
    <ds:schemaRef ds:uri="http://purl.org/dc/term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92486ea5-56a3-4d34-8b76-97a16020a2d1"/>
    <ds:schemaRef ds:uri="http://schemas.microsoft.com/office/2006/metadata/properties"/>
  </ds:schemaRefs>
</ds:datastoreItem>
</file>

<file path=customXml/itemProps2.xml><?xml version="1.0" encoding="utf-8"?>
<ds:datastoreItem xmlns:ds="http://schemas.openxmlformats.org/officeDocument/2006/customXml" ds:itemID="{D3727B16-9EE5-47FC-BB2A-12690EA20DCD}">
  <ds:schemaRefs>
    <ds:schemaRef ds:uri="http://schemas.microsoft.com/sharepoint/v3/contenttype/forms"/>
  </ds:schemaRefs>
</ds:datastoreItem>
</file>

<file path=customXml/itemProps3.xml><?xml version="1.0" encoding="utf-8"?>
<ds:datastoreItem xmlns:ds="http://schemas.openxmlformats.org/officeDocument/2006/customXml" ds:itemID="{C2968B1A-824A-40FA-A68A-0805D458F4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9881ca-1ad9-4daa-9030-2a1fa34cb895"/>
    <ds:schemaRef ds:uri="92486ea5-56a3-4d34-8b76-97a16020a2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1b36e95-0d50-42e9-958f-b63fa906beaa}" enabled="0" method="" siteId="{d1b36e95-0d50-42e9-958f-b63fa906bea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 1</vt:lpstr>
      <vt:lpstr>Scenario 2 &amp; 3 Crashing</vt:lpstr>
      <vt:lpstr>Exercise 2</vt:lpstr>
      <vt:lpstr>Scenario 4</vt:lpstr>
      <vt:lpstr>Scenario 4 Crashing (2)</vt:lpstr>
      <vt:lpstr>Scenario 5</vt:lpstr>
      <vt:lpstr>Scenario 5 Crashing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2026-03-03T01:44:05Z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0x010100E58AABD37C4F4F4B9BD5ED447557DCBD</vt:lpwstr>
  </property>
</Properties>
</file>